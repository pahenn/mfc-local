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yfleetcenter.sharepoint.com/Shared Documents/Payments/EFT Payments/2026/2-February 2026/NonFactored - US/2.1.26 Monthly NonFactored/"/>
    </mc:Choice>
  </mc:AlternateContent>
  <xr:revisionPtr revIDLastSave="24" documentId="11_1563727335E16941FBA942970BEF50EC59B47FEC" xr6:coauthVersionLast="47" xr6:coauthVersionMax="47" xr10:uidLastSave="{DA817CD7-2DF3-4B6F-BC9D-8A78A8080AFF}"/>
  <bookViews>
    <workbookView xWindow="28680" yWindow="-120" windowWidth="29040" windowHeight="15720" xr2:uid="{00000000-000D-0000-FFFF-FFFF00000000}"/>
  </bookViews>
  <sheets>
    <sheet name="NonFactored_PaymentsOut_Summary" sheetId="2" r:id="rId1"/>
  </sheets>
  <definedNames>
    <definedName name="_xlnm._FilterDatabase" localSheetId="0" hidden="1">NonFactored_PaymentsOut_Summary!$A$2:$W$2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8" i="2" l="1"/>
  <c r="Q88" i="2"/>
  <c r="B97" i="2" s="1"/>
  <c r="R88" i="2"/>
  <c r="S88" i="2"/>
  <c r="B98" i="2" s="1"/>
  <c r="T88" i="2"/>
  <c r="B99" i="2" s="1"/>
  <c r="U88" i="2"/>
  <c r="V88" i="2"/>
  <c r="B93" i="2" s="1"/>
  <c r="O88" i="2"/>
  <c r="B96" i="2" s="1"/>
  <c r="N88" i="2"/>
  <c r="M88" i="2"/>
  <c r="B92" i="2" s="1"/>
  <c r="L88" i="2"/>
  <c r="K88" i="2"/>
  <c r="J88" i="2"/>
  <c r="J89" i="2" s="1"/>
  <c r="I88" i="2"/>
  <c r="H88" i="2"/>
  <c r="G88" i="2"/>
  <c r="E88" i="2"/>
  <c r="C88" i="2"/>
  <c r="D54" i="2"/>
  <c r="D63" i="2"/>
  <c r="D38" i="2"/>
  <c r="D86" i="2"/>
  <c r="D11" i="2"/>
  <c r="D73" i="2"/>
  <c r="D64" i="2"/>
  <c r="D33" i="2"/>
  <c r="D39" i="2"/>
  <c r="D27" i="2"/>
  <c r="D29" i="2"/>
  <c r="D43" i="2"/>
  <c r="D20" i="2"/>
  <c r="D41" i="2"/>
  <c r="D48" i="2"/>
  <c r="D68" i="2"/>
  <c r="D49" i="2"/>
  <c r="D50" i="2"/>
  <c r="D51" i="2"/>
  <c r="D59" i="2"/>
  <c r="D65" i="2"/>
  <c r="D75" i="2"/>
  <c r="D81" i="2"/>
  <c r="D66" i="2"/>
  <c r="D42" i="2"/>
  <c r="D28" i="2"/>
  <c r="D67" i="2"/>
  <c r="D69" i="2"/>
  <c r="D70" i="2"/>
  <c r="D37" i="2"/>
  <c r="D83" i="2"/>
  <c r="D79" i="2"/>
  <c r="D31" i="2"/>
  <c r="D72" i="2"/>
  <c r="D3" i="2"/>
  <c r="D82" i="2"/>
  <c r="D23" i="2"/>
  <c r="D35" i="2"/>
  <c r="D34" i="2"/>
  <c r="D24" i="2"/>
  <c r="D52" i="2"/>
  <c r="D71" i="2"/>
  <c r="D56" i="2"/>
  <c r="D78" i="2"/>
  <c r="D32" i="2"/>
  <c r="D30" i="2"/>
  <c r="D8" i="2"/>
  <c r="D84" i="2"/>
  <c r="D85" i="2"/>
  <c r="D25" i="2"/>
  <c r="D22" i="2"/>
  <c r="D36" i="2"/>
  <c r="D74" i="2"/>
  <c r="D87" i="2"/>
  <c r="D15" i="2"/>
  <c r="D16" i="2"/>
  <c r="D46" i="2"/>
  <c r="D58" i="2"/>
  <c r="D45" i="2"/>
  <c r="D26" i="2"/>
  <c r="D76" i="2"/>
  <c r="D62" i="2"/>
  <c r="D5" i="2"/>
  <c r="D21" i="2"/>
  <c r="D17" i="2"/>
  <c r="D12" i="2"/>
  <c r="D19" i="2"/>
  <c r="D77" i="2"/>
  <c r="D55" i="2"/>
  <c r="D6" i="2"/>
  <c r="D10" i="2"/>
  <c r="D9" i="2"/>
  <c r="D44" i="2"/>
  <c r="D18" i="2"/>
  <c r="D4" i="2"/>
  <c r="D13" i="2"/>
  <c r="D14" i="2"/>
  <c r="D61" i="2"/>
  <c r="D57" i="2"/>
  <c r="D80" i="2"/>
  <c r="D7" i="2"/>
  <c r="D60" i="2"/>
  <c r="D47" i="2"/>
  <c r="D53" i="2"/>
  <c r="D40" i="2"/>
  <c r="D88" i="2" l="1"/>
  <c r="B100" i="2"/>
  <c r="B94" i="2"/>
</calcChain>
</file>

<file path=xl/sharedStrings.xml><?xml version="1.0" encoding="utf-8"?>
<sst xmlns="http://schemas.openxmlformats.org/spreadsheetml/2006/main" count="210" uniqueCount="126">
  <si>
    <t>CustomerID</t>
  </si>
  <si>
    <t>Customer_CompanyName</t>
  </si>
  <si>
    <t>SumOfNetPayments2</t>
  </si>
  <si>
    <t>MaxOfLastPaid</t>
  </si>
  <si>
    <t>SumOfBilledCount</t>
  </si>
  <si>
    <t>SumOfBilledAmount</t>
  </si>
  <si>
    <t>SumOfGrossPayments</t>
  </si>
  <si>
    <t>SumOfDiscounts</t>
  </si>
  <si>
    <t>SumOfAdjustments</t>
  </si>
  <si>
    <t>SumOfNetPayments1</t>
  </si>
  <si>
    <t>SumOfStoreBillingFees</t>
  </si>
  <si>
    <t>SumOfCoOpBillingFees</t>
  </si>
  <si>
    <t>SumOfCCFees</t>
  </si>
  <si>
    <t>SumOfFinanceFees</t>
  </si>
  <si>
    <t>SumOfCollectionFees</t>
  </si>
  <si>
    <t>SumOfUnposts</t>
  </si>
  <si>
    <t>SumOfUnpostCCFees</t>
  </si>
  <si>
    <t>SumOfUnpostCollectionFees</t>
  </si>
  <si>
    <t>SumOfCorrections</t>
  </si>
  <si>
    <t>SumOfAutoIntegrateBillingFees</t>
  </si>
  <si>
    <t>Schedule</t>
  </si>
  <si>
    <t>H.G.H. OIL COMPANY, INC.(JL)</t>
  </si>
  <si>
    <t>Monthly</t>
  </si>
  <si>
    <t>NAJJAR LUBE CENTERS (JL)</t>
  </si>
  <si>
    <t>T.S.C. OIL INC. (JL)</t>
  </si>
  <si>
    <t>ALAMITOS ENTERPRISES (JL)</t>
  </si>
  <si>
    <t>PCH LUBE CENTER (JL)</t>
  </si>
  <si>
    <t>KISMAT ENTERPRISES INC (JL)</t>
  </si>
  <si>
    <t>MC LLC - CA (JL)</t>
  </si>
  <si>
    <t>MC LLC - NE (JL)</t>
  </si>
  <si>
    <t>RADLUBE INC (JL)</t>
  </si>
  <si>
    <t>Griffin Fast Lube LLC (JL)</t>
  </si>
  <si>
    <t>UTAH LUBRICANTS LLC (JL)</t>
  </si>
  <si>
    <t>AUTO LUBE CORP (JL)</t>
  </si>
  <si>
    <t>SOUTHWEST LUBRICATION INC /Closed (JL)</t>
  </si>
  <si>
    <t>ROANOKE JL, LLC (JL)</t>
  </si>
  <si>
    <t>GHARDASH ENTERPRISES, INC (JL)</t>
  </si>
  <si>
    <t>GUYNN INC (JL)</t>
  </si>
  <si>
    <t>DMS LLC (JL)</t>
  </si>
  <si>
    <t>EDWARDS LUBRICATION INC (JL)</t>
  </si>
  <si>
    <t>ILLINOIS LUBE INC (JL)</t>
  </si>
  <si>
    <t>C &amp; M LUBE INC (JL)</t>
  </si>
  <si>
    <t>HLC #2 INC (JL)</t>
  </si>
  <si>
    <t>LUBRICATION CENTERS INC (JL)</t>
  </si>
  <si>
    <t>SALEM LUBES (JL)</t>
  </si>
  <si>
    <t>MALAD ENTERPRISES /ALLEN-KENT (JL)</t>
  </si>
  <si>
    <t>MALAD ENTERPRISES /KELLEN CORP (JL)</t>
  </si>
  <si>
    <t>MALAD ENTERPRISES /KVK CORP (JL)</t>
  </si>
  <si>
    <t>PANTOPS LUBE INC (JL)</t>
  </si>
  <si>
    <t>ROCKVILLE LUBE CENTER INC (JL)</t>
  </si>
  <si>
    <t xml:space="preserve">SRE CORPORATION (JL) </t>
  </si>
  <si>
    <t>TRES C'S INC (JL)</t>
  </si>
  <si>
    <t>ROCKY MOUNTAIN LUBES (JL)</t>
  </si>
  <si>
    <t>H-LUBE (JL)</t>
  </si>
  <si>
    <t>DRT Lube LLC (JL)</t>
  </si>
  <si>
    <t>ROKNIPOUR INC DBA JIFFY LUBE (JL)</t>
  </si>
  <si>
    <t>SBM CORP (JL)</t>
  </si>
  <si>
    <t>Schneider Auto Care Inc (JL)</t>
  </si>
  <si>
    <t>Griffin Fast Lube /Nevada (JL)</t>
  </si>
  <si>
    <t>TROUPE, LLC (JL)</t>
  </si>
  <si>
    <t>T&amp;R LUBE CENTERS INC (JL)</t>
  </si>
  <si>
    <t>ENITOR ENTERPRISES, LLC (JL)</t>
  </si>
  <si>
    <t>Sound Billing - Reinstatement Fees</t>
  </si>
  <si>
    <t>29 LUBE, INC (JL)</t>
  </si>
  <si>
    <t>TROUPE (JL)</t>
  </si>
  <si>
    <t>CHN AUTO SERVICES, INC (JL)</t>
  </si>
  <si>
    <t>Griffin Fast Lube /Denver (JL)</t>
  </si>
  <si>
    <t>Griffin Fast Lube /Colorado Springs (JL)</t>
  </si>
  <si>
    <t>CHRIS HOOD, LLC (JL)</t>
  </si>
  <si>
    <t>MARKUNAS GROUP (JL)</t>
  </si>
  <si>
    <t>SCOTT LUBE, LLC (JL)</t>
  </si>
  <si>
    <t>MTPDR Inc (JL)</t>
  </si>
  <si>
    <t>SUPERIOR LUBES, INC. (JL)</t>
  </si>
  <si>
    <t>ENITOR GROUP (JL)</t>
  </si>
  <si>
    <t>EG Lube LLC (JL)</t>
  </si>
  <si>
    <t>ALAMITOS PARTNERS, LLC (JL)</t>
  </si>
  <si>
    <t>Urban Auto Spa (JL)</t>
  </si>
  <si>
    <t>Urban Auto Spa II (JL)</t>
  </si>
  <si>
    <t>CR Lube Run, LLC (JL)</t>
  </si>
  <si>
    <t>Candura Corporation (JL)</t>
  </si>
  <si>
    <t>Griffin Fast Lube /Grand Junction (JL)</t>
  </si>
  <si>
    <t>Space Coast Lube (dba Jiffy Lube #925) (JL)</t>
  </si>
  <si>
    <t>ZEEZ, LLC (JL)</t>
  </si>
  <si>
    <t>Bakken Lube and Wash LLC (JL)</t>
  </si>
  <si>
    <t>BIGHORN COUNTRY (JL)</t>
  </si>
  <si>
    <t>KAYLA CORP (JL)</t>
  </si>
  <si>
    <t>ODM Auto Centers Inc (JL)</t>
  </si>
  <si>
    <t>JILU CAL INC (JL)</t>
  </si>
  <si>
    <t>DASH LUBE (JL)</t>
  </si>
  <si>
    <t>SRTMT AUTO CENTERS, INC. (JL) - INACTIVE</t>
  </si>
  <si>
    <t>PNOC Group LLC (JL)</t>
  </si>
  <si>
    <t>ABME Auto Services, Inc. (JL)</t>
  </si>
  <si>
    <t>Cactus Car Care LLC (JL)</t>
  </si>
  <si>
    <t>Black Gold Partners LLC #3271 (JL)</t>
  </si>
  <si>
    <t>Auto Lube Services Inc (JL)</t>
  </si>
  <si>
    <t>Burton Enterprises Inc (JL)</t>
  </si>
  <si>
    <t>Stonebriar Auto Services LLC (JL)</t>
  </si>
  <si>
    <t>Mom N Pop Lube Shop Inc (JL)</t>
  </si>
  <si>
    <t>Alamitos Arkansas Group LLC  (JL) - INACTIVE</t>
  </si>
  <si>
    <t>ASJ Enterprises Inc (JL)</t>
  </si>
  <si>
    <t>Appalachian Valley Lubes LLC (JL)</t>
  </si>
  <si>
    <t>Indiana Auto Care LLC (JL)</t>
  </si>
  <si>
    <t>Brake Stop Inc (JL)</t>
  </si>
  <si>
    <t>A.G.A., INC. (JL)</t>
  </si>
  <si>
    <t>B&amp;B AUTO SERVICES, INC. (JL)</t>
  </si>
  <si>
    <t>B&amp;H INDUSTRIES, INC. (JL)</t>
  </si>
  <si>
    <t>PHOENIX LUBRICATION SERVICES, INC. (JL)</t>
  </si>
  <si>
    <t>EFT</t>
  </si>
  <si>
    <t>Check</t>
  </si>
  <si>
    <t>Paid Out Date</t>
  </si>
  <si>
    <t>Total Bill Fee</t>
  </si>
  <si>
    <t>AI Fees</t>
  </si>
  <si>
    <t>MFC Bill Fees</t>
  </si>
  <si>
    <t>CC Fees</t>
  </si>
  <si>
    <t>Coll Fees</t>
  </si>
  <si>
    <t>Unpost CC Fees</t>
  </si>
  <si>
    <t>Unpost Coll Fees</t>
  </si>
  <si>
    <t>Total Fees</t>
  </si>
  <si>
    <t>Journal Entry</t>
  </si>
  <si>
    <t>2/1/26 Monthly NonFactored - US</t>
  </si>
  <si>
    <t>EOM</t>
  </si>
  <si>
    <t>GJ24717</t>
  </si>
  <si>
    <t>GJ24718</t>
  </si>
  <si>
    <t>Payment 2/10</t>
  </si>
  <si>
    <t>fee transfer</t>
  </si>
  <si>
    <t>GJ24719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</si>
</sst>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6"/>
      <color rgb="FFFF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2" borderId="0" xfId="1" applyAlignment="1">
      <alignment wrapText="1"/>
    </xf>
    <xf numFmtId="0" fontId="0" fillId="0" borderId="0" xfId="0" applyAlignment="1">
      <alignment wrapText="1"/>
    </xf>
    <xf numFmtId="8" fontId="0" fillId="0" borderId="0" xfId="0" applyNumberFormat="1"/>
    <xf numFmtId="8" fontId="1" fillId="2" borderId="0" xfId="1" applyNumberFormat="1" applyAlignment="1">
      <alignment wrapText="1"/>
    </xf>
    <xf numFmtId="0" fontId="0" fillId="3" borderId="0" xfId="0" applyFill="1"/>
    <xf numFmtId="8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right"/>
    </xf>
    <xf numFmtId="8" fontId="0" fillId="3" borderId="0" xfId="0" applyNumberFormat="1" applyFill="1"/>
    <xf numFmtId="14" fontId="0" fillId="3" borderId="0" xfId="0" applyNumberFormat="1" applyFill="1"/>
  </cellXfs>
  <cellStyles count="2">
    <cellStyle name="Accent1" xfId="1" builtinId="29"/>
    <cellStyle name="Normal" xfId="0" builtinId="0"/>
  </cellStyles>
  <dxfs count="6">
    <dxf>
      <fill>
        <patternFill>
          <fgColor indexed="64"/>
          <bgColor theme="7" tint="0.59996337778862885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FFFF00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4"/>
  <sheetViews>
    <sheetView tabSelected="1" workbookViewId="0">
      <pane ySplit="2" topLeftCell="A85" activePane="bottomLeft" state="frozen"/>
      <selection pane="bottomLeft" activeCell="I93" sqref="I93"/>
    </sheetView>
  </sheetViews>
  <sheetFormatPr defaultRowHeight="15" x14ac:dyDescent="0.25"/>
  <cols>
    <col min="1" max="1" width="13.7109375" bestFit="1" customWidth="1"/>
    <col min="2" max="2" width="39.85546875" customWidth="1"/>
    <col min="3" max="4" width="14.42578125" style="5" bestFit="1" customWidth="1"/>
    <col min="5" max="5" width="14.42578125" style="5" hidden="1" customWidth="1"/>
    <col min="6" max="6" width="12.7109375" customWidth="1"/>
    <col min="7" max="7" width="11.85546875" customWidth="1"/>
    <col min="8" max="8" width="14.42578125" style="5" bestFit="1" customWidth="1"/>
    <col min="9" max="9" width="14.140625" style="5" bestFit="1" customWidth="1"/>
    <col min="10" max="10" width="14" style="5" bestFit="1" customWidth="1"/>
    <col min="11" max="11" width="15" style="5" bestFit="1" customWidth="1"/>
    <col min="12" max="12" width="14.7109375" style="5" bestFit="1" customWidth="1"/>
    <col min="13" max="13" width="14" style="5" bestFit="1" customWidth="1"/>
    <col min="14" max="14" width="6.85546875" style="5" customWidth="1"/>
    <col min="15" max="15" width="11.5703125" style="5" bestFit="1" customWidth="1"/>
    <col min="16" max="16" width="8.140625" style="5" customWidth="1"/>
    <col min="17" max="17" width="11.5703125" style="5" bestFit="1" customWidth="1"/>
    <col min="18" max="18" width="14" style="5" bestFit="1" customWidth="1"/>
    <col min="19" max="19" width="10.28515625" style="5" customWidth="1"/>
    <col min="20" max="20" width="10.140625" style="5" customWidth="1"/>
    <col min="21" max="21" width="6.5703125" style="5" customWidth="1"/>
    <col min="22" max="22" width="13.7109375" style="5" bestFit="1" customWidth="1"/>
    <col min="23" max="23" width="11.42578125" bestFit="1" customWidth="1"/>
  </cols>
  <sheetData>
    <row r="1" spans="1:23" ht="21" x14ac:dyDescent="0.35">
      <c r="B1" s="2" t="s">
        <v>119</v>
      </c>
    </row>
    <row r="2" spans="1:23" s="4" customFormat="1" ht="60" x14ac:dyDescent="0.25">
      <c r="A2" s="3" t="s">
        <v>0</v>
      </c>
      <c r="B2" s="3" t="s">
        <v>1</v>
      </c>
      <c r="C2" s="6" t="s">
        <v>2</v>
      </c>
      <c r="D2" s="6" t="s">
        <v>107</v>
      </c>
      <c r="E2" s="6" t="s">
        <v>108</v>
      </c>
      <c r="F2" s="3" t="s">
        <v>3</v>
      </c>
      <c r="G2" s="3" t="s">
        <v>4</v>
      </c>
      <c r="H2" s="6" t="s">
        <v>5</v>
      </c>
      <c r="I2" s="6" t="s">
        <v>6</v>
      </c>
      <c r="J2" s="6" t="s">
        <v>7</v>
      </c>
      <c r="K2" s="6" t="s">
        <v>8</v>
      </c>
      <c r="L2" s="6" t="s">
        <v>9</v>
      </c>
      <c r="M2" s="6" t="s">
        <v>10</v>
      </c>
      <c r="N2" s="6" t="s">
        <v>11</v>
      </c>
      <c r="O2" s="6" t="s">
        <v>12</v>
      </c>
      <c r="P2" s="6" t="s">
        <v>13</v>
      </c>
      <c r="Q2" s="6" t="s">
        <v>14</v>
      </c>
      <c r="R2" s="6" t="s">
        <v>15</v>
      </c>
      <c r="S2" s="6" t="s">
        <v>16</v>
      </c>
      <c r="T2" s="6" t="s">
        <v>17</v>
      </c>
      <c r="U2" s="6" t="s">
        <v>18</v>
      </c>
      <c r="V2" s="6" t="s">
        <v>19</v>
      </c>
      <c r="W2" s="3" t="s">
        <v>20</v>
      </c>
    </row>
    <row r="3" spans="1:23" x14ac:dyDescent="0.25">
      <c r="A3">
        <v>1830</v>
      </c>
      <c r="B3" t="s">
        <v>63</v>
      </c>
      <c r="C3" s="5">
        <v>3488.78</v>
      </c>
      <c r="D3" s="5">
        <f t="shared" ref="D3:D34" si="0">C3</f>
        <v>3488.78</v>
      </c>
      <c r="F3" s="1">
        <v>46023</v>
      </c>
      <c r="G3">
        <v>12</v>
      </c>
      <c r="H3" s="5">
        <v>1658.55</v>
      </c>
      <c r="I3" s="5">
        <v>3689.58</v>
      </c>
      <c r="J3" s="5">
        <v>-153.28</v>
      </c>
      <c r="K3" s="5">
        <v>0</v>
      </c>
      <c r="L3" s="5">
        <v>3536.3</v>
      </c>
      <c r="M3" s="5">
        <v>-23.76</v>
      </c>
      <c r="N3" s="5">
        <v>0</v>
      </c>
      <c r="O3" s="5">
        <v>-15.34</v>
      </c>
      <c r="P3" s="5">
        <v>0</v>
      </c>
      <c r="Q3" s="5">
        <v>0</v>
      </c>
      <c r="R3" s="5">
        <v>-8.42</v>
      </c>
      <c r="S3" s="5">
        <v>0</v>
      </c>
      <c r="T3" s="5">
        <v>0</v>
      </c>
      <c r="U3" s="5">
        <v>0</v>
      </c>
      <c r="V3" s="5">
        <v>0</v>
      </c>
      <c r="W3" t="s">
        <v>22</v>
      </c>
    </row>
    <row r="4" spans="1:23" x14ac:dyDescent="0.25">
      <c r="A4">
        <v>84270</v>
      </c>
      <c r="B4" t="s">
        <v>103</v>
      </c>
      <c r="C4" s="5">
        <v>1627.99</v>
      </c>
      <c r="D4" s="5">
        <f t="shared" si="0"/>
        <v>1627.99</v>
      </c>
      <c r="F4" s="1">
        <v>46023</v>
      </c>
      <c r="G4">
        <v>31</v>
      </c>
      <c r="H4" s="5">
        <v>2444.46</v>
      </c>
      <c r="I4" s="5">
        <v>1714.19</v>
      </c>
      <c r="J4" s="5">
        <v>0</v>
      </c>
      <c r="K4" s="5">
        <v>0</v>
      </c>
      <c r="L4" s="5">
        <v>1714.19</v>
      </c>
      <c r="M4" s="5">
        <v>-61.38</v>
      </c>
      <c r="N4" s="5">
        <v>0</v>
      </c>
      <c r="O4" s="5">
        <v>-24.82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t="s">
        <v>22</v>
      </c>
    </row>
    <row r="5" spans="1:23" x14ac:dyDescent="0.25">
      <c r="A5">
        <v>2714</v>
      </c>
      <c r="B5" t="s">
        <v>91</v>
      </c>
      <c r="C5" s="5">
        <v>5010.46</v>
      </c>
      <c r="D5" s="5">
        <f t="shared" si="0"/>
        <v>5010.46</v>
      </c>
      <c r="F5" s="1">
        <v>46023</v>
      </c>
      <c r="G5">
        <v>14</v>
      </c>
      <c r="H5" s="5">
        <v>4255.34</v>
      </c>
      <c r="I5" s="5">
        <v>5187.09</v>
      </c>
      <c r="J5" s="5">
        <v>-65.52</v>
      </c>
      <c r="K5" s="5">
        <v>-70.86</v>
      </c>
      <c r="L5" s="5">
        <v>5050.71</v>
      </c>
      <c r="M5" s="5">
        <v>-27.72</v>
      </c>
      <c r="N5" s="5">
        <v>0</v>
      </c>
      <c r="O5" s="5">
        <v>-12.53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t="s">
        <v>22</v>
      </c>
    </row>
    <row r="6" spans="1:23" x14ac:dyDescent="0.25">
      <c r="A6">
        <v>46365</v>
      </c>
      <c r="B6" t="s">
        <v>98</v>
      </c>
      <c r="C6" s="5">
        <v>4512.72</v>
      </c>
      <c r="D6" s="5">
        <f t="shared" si="0"/>
        <v>4512.72</v>
      </c>
      <c r="F6" s="1">
        <v>46023</v>
      </c>
      <c r="G6">
        <v>0</v>
      </c>
      <c r="H6" s="5">
        <v>0</v>
      </c>
      <c r="I6" s="5">
        <v>4516.88</v>
      </c>
      <c r="J6" s="5">
        <v>0</v>
      </c>
      <c r="K6" s="5">
        <v>0</v>
      </c>
      <c r="L6" s="5">
        <v>4516.88</v>
      </c>
      <c r="M6" s="5">
        <v>0</v>
      </c>
      <c r="N6" s="5">
        <v>0</v>
      </c>
      <c r="O6" s="5">
        <v>-4.16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t="s">
        <v>22</v>
      </c>
    </row>
    <row r="7" spans="1:23" x14ac:dyDescent="0.25">
      <c r="A7">
        <v>25</v>
      </c>
      <c r="B7" t="s">
        <v>25</v>
      </c>
      <c r="C7" s="5">
        <v>8105.62</v>
      </c>
      <c r="D7" s="5">
        <f t="shared" si="0"/>
        <v>8105.62</v>
      </c>
      <c r="F7" s="1">
        <v>46023</v>
      </c>
      <c r="G7">
        <v>69</v>
      </c>
      <c r="H7" s="5">
        <v>12717.29</v>
      </c>
      <c r="I7" s="5">
        <v>8768.43</v>
      </c>
      <c r="J7" s="5">
        <v>-167.77</v>
      </c>
      <c r="K7" s="5">
        <v>-270.87</v>
      </c>
      <c r="L7" s="5">
        <v>8329.7900000000009</v>
      </c>
      <c r="M7" s="5">
        <v>-146.12</v>
      </c>
      <c r="N7" s="5">
        <v>0</v>
      </c>
      <c r="O7" s="5">
        <v>-54.98</v>
      </c>
      <c r="P7" s="5">
        <v>0</v>
      </c>
      <c r="Q7" s="5">
        <v>-23.07</v>
      </c>
      <c r="R7" s="5">
        <v>0</v>
      </c>
      <c r="S7" s="5">
        <v>0</v>
      </c>
      <c r="T7" s="5">
        <v>0</v>
      </c>
      <c r="U7" s="5">
        <v>0</v>
      </c>
      <c r="V7" s="5">
        <v>-9.5</v>
      </c>
      <c r="W7" t="s">
        <v>22</v>
      </c>
    </row>
    <row r="8" spans="1:23" x14ac:dyDescent="0.25">
      <c r="A8">
        <v>1922</v>
      </c>
      <c r="B8" t="s">
        <v>75</v>
      </c>
      <c r="C8" s="5">
        <v>4905.7299999999996</v>
      </c>
      <c r="D8" s="5">
        <f t="shared" si="0"/>
        <v>4905.7299999999996</v>
      </c>
      <c r="F8" s="1">
        <v>46023</v>
      </c>
      <c r="G8">
        <v>74</v>
      </c>
      <c r="H8" s="5">
        <v>11790.4</v>
      </c>
      <c r="I8" s="5">
        <v>5205.82</v>
      </c>
      <c r="J8" s="5">
        <v>-55.28</v>
      </c>
      <c r="K8" s="5">
        <v>-73.010000000000005</v>
      </c>
      <c r="L8" s="5">
        <v>5077.53</v>
      </c>
      <c r="M8" s="5">
        <v>-147.47</v>
      </c>
      <c r="N8" s="5">
        <v>0</v>
      </c>
      <c r="O8" s="5">
        <v>-24.33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-0.95</v>
      </c>
      <c r="W8" t="s">
        <v>22</v>
      </c>
    </row>
    <row r="9" spans="1:23" x14ac:dyDescent="0.25">
      <c r="A9">
        <v>62972</v>
      </c>
      <c r="B9" t="s">
        <v>100</v>
      </c>
      <c r="C9" s="5">
        <v>392.39</v>
      </c>
      <c r="D9" s="5">
        <f t="shared" si="0"/>
        <v>392.39</v>
      </c>
      <c r="F9" s="1">
        <v>46023</v>
      </c>
      <c r="G9">
        <v>2</v>
      </c>
      <c r="H9" s="5">
        <v>371.87</v>
      </c>
      <c r="I9" s="5">
        <v>472.98</v>
      </c>
      <c r="J9" s="5">
        <v>-76.63</v>
      </c>
      <c r="K9" s="5">
        <v>0</v>
      </c>
      <c r="L9" s="5">
        <v>396.35</v>
      </c>
      <c r="M9" s="5">
        <v>-3.96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t="s">
        <v>22</v>
      </c>
    </row>
    <row r="10" spans="1:23" x14ac:dyDescent="0.25">
      <c r="A10">
        <v>46432</v>
      </c>
      <c r="B10" t="s">
        <v>99</v>
      </c>
      <c r="C10" s="5">
        <v>714.48</v>
      </c>
      <c r="D10" s="5">
        <f t="shared" si="0"/>
        <v>714.48</v>
      </c>
      <c r="F10" s="1">
        <v>46023</v>
      </c>
      <c r="G10">
        <v>19</v>
      </c>
      <c r="H10" s="5">
        <v>3913.59</v>
      </c>
      <c r="I10" s="5">
        <v>767.3</v>
      </c>
      <c r="J10" s="5">
        <v>0</v>
      </c>
      <c r="K10" s="5">
        <v>0</v>
      </c>
      <c r="L10" s="5">
        <v>767.3</v>
      </c>
      <c r="M10" s="5">
        <v>-52.82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-15.2</v>
      </c>
      <c r="W10" t="s">
        <v>22</v>
      </c>
    </row>
    <row r="11" spans="1:23" x14ac:dyDescent="0.25">
      <c r="A11">
        <v>628</v>
      </c>
      <c r="B11" t="s">
        <v>33</v>
      </c>
      <c r="C11" s="5">
        <v>1276.96</v>
      </c>
      <c r="D11" s="5">
        <f t="shared" si="0"/>
        <v>1276.96</v>
      </c>
      <c r="F11" s="1">
        <v>46023</v>
      </c>
      <c r="G11">
        <v>5</v>
      </c>
      <c r="H11" s="5">
        <v>540.29</v>
      </c>
      <c r="I11" s="5">
        <v>1324.1</v>
      </c>
      <c r="J11" s="5">
        <v>-37.24</v>
      </c>
      <c r="K11" s="5">
        <v>0</v>
      </c>
      <c r="L11" s="5">
        <v>1286.8599999999999</v>
      </c>
      <c r="M11" s="5">
        <v>-9.9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t="s">
        <v>22</v>
      </c>
    </row>
    <row r="12" spans="1:23" x14ac:dyDescent="0.25">
      <c r="A12">
        <v>12474</v>
      </c>
      <c r="B12" t="s">
        <v>94</v>
      </c>
      <c r="C12" s="5">
        <v>3431.31</v>
      </c>
      <c r="D12" s="5">
        <f t="shared" si="0"/>
        <v>3431.31</v>
      </c>
      <c r="F12" s="1">
        <v>46023</v>
      </c>
      <c r="G12">
        <v>64</v>
      </c>
      <c r="H12" s="5">
        <v>7175.42</v>
      </c>
      <c r="I12" s="5">
        <v>3619.84</v>
      </c>
      <c r="J12" s="5">
        <v>-42.22</v>
      </c>
      <c r="K12" s="5">
        <v>0</v>
      </c>
      <c r="L12" s="5">
        <v>3577.62</v>
      </c>
      <c r="M12" s="5">
        <v>-126.72</v>
      </c>
      <c r="N12" s="5">
        <v>0</v>
      </c>
      <c r="O12" s="5">
        <v>-19.59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t="s">
        <v>22</v>
      </c>
    </row>
    <row r="13" spans="1:23" x14ac:dyDescent="0.25">
      <c r="A13">
        <v>84271</v>
      </c>
      <c r="B13" t="s">
        <v>104</v>
      </c>
      <c r="C13" s="5">
        <v>1283.82</v>
      </c>
      <c r="D13" s="5">
        <f t="shared" si="0"/>
        <v>1283.82</v>
      </c>
      <c r="F13" s="1">
        <v>46023</v>
      </c>
      <c r="G13">
        <v>25</v>
      </c>
      <c r="H13" s="5">
        <v>1829.11</v>
      </c>
      <c r="I13" s="5">
        <v>1347.72</v>
      </c>
      <c r="J13" s="5">
        <v>0</v>
      </c>
      <c r="K13" s="5">
        <v>0</v>
      </c>
      <c r="L13" s="5">
        <v>1347.72</v>
      </c>
      <c r="M13" s="5">
        <v>-49.5</v>
      </c>
      <c r="N13" s="5">
        <v>0</v>
      </c>
      <c r="O13" s="5">
        <v>-14.4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t="s">
        <v>22</v>
      </c>
    </row>
    <row r="14" spans="1:23" x14ac:dyDescent="0.25">
      <c r="A14">
        <v>84272</v>
      </c>
      <c r="B14" t="s">
        <v>105</v>
      </c>
      <c r="C14" s="5">
        <v>2638.49</v>
      </c>
      <c r="D14" s="5">
        <f t="shared" si="0"/>
        <v>2638.49</v>
      </c>
      <c r="F14" s="1">
        <v>46023</v>
      </c>
      <c r="G14">
        <v>26</v>
      </c>
      <c r="H14" s="5">
        <v>2569.91</v>
      </c>
      <c r="I14" s="5">
        <v>2731.86</v>
      </c>
      <c r="J14" s="5">
        <v>0</v>
      </c>
      <c r="K14" s="5">
        <v>0</v>
      </c>
      <c r="L14" s="5">
        <v>2731.86</v>
      </c>
      <c r="M14" s="5">
        <v>-51.48</v>
      </c>
      <c r="N14" s="5">
        <v>0</v>
      </c>
      <c r="O14" s="5">
        <v>-41.89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t="s">
        <v>22</v>
      </c>
    </row>
    <row r="15" spans="1:23" x14ac:dyDescent="0.25">
      <c r="A15">
        <v>2057</v>
      </c>
      <c r="B15" t="s">
        <v>83</v>
      </c>
      <c r="C15" s="5">
        <v>29493.27</v>
      </c>
      <c r="D15" s="5">
        <f t="shared" si="0"/>
        <v>29493.27</v>
      </c>
      <c r="F15" s="1">
        <v>46023</v>
      </c>
      <c r="G15">
        <v>158</v>
      </c>
      <c r="H15" s="5">
        <v>34385.22</v>
      </c>
      <c r="I15" s="5">
        <v>31292.880000000001</v>
      </c>
      <c r="J15" s="5">
        <v>-1387.09</v>
      </c>
      <c r="K15" s="5">
        <v>0</v>
      </c>
      <c r="L15" s="5">
        <v>29905.79</v>
      </c>
      <c r="M15" s="5">
        <v>-330.89</v>
      </c>
      <c r="N15" s="5">
        <v>0</v>
      </c>
      <c r="O15" s="5">
        <v>-81.63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-18.05</v>
      </c>
      <c r="W15" t="s">
        <v>22</v>
      </c>
    </row>
    <row r="16" spans="1:23" x14ac:dyDescent="0.25">
      <c r="A16">
        <v>2212</v>
      </c>
      <c r="B16" t="s">
        <v>84</v>
      </c>
      <c r="C16" s="5">
        <v>8960.83</v>
      </c>
      <c r="D16" s="5">
        <f t="shared" si="0"/>
        <v>8960.83</v>
      </c>
      <c r="F16" s="1">
        <v>46023</v>
      </c>
      <c r="G16">
        <v>117</v>
      </c>
      <c r="H16" s="5">
        <v>12846.11</v>
      </c>
      <c r="I16" s="5">
        <v>9554.85</v>
      </c>
      <c r="J16" s="5">
        <v>-299.8</v>
      </c>
      <c r="K16" s="5">
        <v>12.82</v>
      </c>
      <c r="L16" s="5">
        <v>9267.8700000000008</v>
      </c>
      <c r="M16" s="5">
        <v>-279.16000000000003</v>
      </c>
      <c r="N16" s="5">
        <v>0</v>
      </c>
      <c r="O16" s="5">
        <v>-27.88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-47.5</v>
      </c>
      <c r="W16" t="s">
        <v>22</v>
      </c>
    </row>
    <row r="17" spans="1:23" x14ac:dyDescent="0.25">
      <c r="A17">
        <v>4797</v>
      </c>
      <c r="B17" t="s">
        <v>93</v>
      </c>
      <c r="C17" s="5">
        <v>1667.8</v>
      </c>
      <c r="D17" s="5">
        <f t="shared" si="0"/>
        <v>1667.8</v>
      </c>
      <c r="F17" s="1">
        <v>46023</v>
      </c>
      <c r="G17">
        <v>71</v>
      </c>
      <c r="H17" s="5">
        <v>4211.46</v>
      </c>
      <c r="I17" s="5">
        <v>1882.17</v>
      </c>
      <c r="J17" s="5">
        <v>-10.34</v>
      </c>
      <c r="K17" s="5">
        <v>0</v>
      </c>
      <c r="L17" s="5">
        <v>1871.83</v>
      </c>
      <c r="M17" s="5">
        <v>-201.38</v>
      </c>
      <c r="N17" s="5">
        <v>0</v>
      </c>
      <c r="O17" s="5">
        <v>-2.65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-60.8</v>
      </c>
      <c r="W17" t="s">
        <v>22</v>
      </c>
    </row>
    <row r="18" spans="1:23" x14ac:dyDescent="0.25">
      <c r="A18">
        <v>83787</v>
      </c>
      <c r="B18" t="s">
        <v>102</v>
      </c>
      <c r="C18" s="5">
        <v>1103.43</v>
      </c>
      <c r="D18" s="5">
        <f t="shared" si="0"/>
        <v>1103.43</v>
      </c>
      <c r="F18" s="1">
        <v>46023</v>
      </c>
      <c r="G18">
        <v>8</v>
      </c>
      <c r="H18" s="5">
        <v>1324.15</v>
      </c>
      <c r="I18" s="5">
        <v>1166.7</v>
      </c>
      <c r="J18" s="5">
        <v>-30.14</v>
      </c>
      <c r="K18" s="5">
        <v>0</v>
      </c>
      <c r="L18" s="5">
        <v>1136.56</v>
      </c>
      <c r="M18" s="5">
        <v>-15.84</v>
      </c>
      <c r="N18" s="5">
        <v>0</v>
      </c>
      <c r="O18" s="5">
        <v>-17.260000000000002</v>
      </c>
      <c r="P18" s="5">
        <v>0</v>
      </c>
      <c r="Q18" s="5">
        <v>0</v>
      </c>
      <c r="R18" s="5">
        <v>-0.03</v>
      </c>
      <c r="S18" s="5">
        <v>0</v>
      </c>
      <c r="T18" s="5">
        <v>0</v>
      </c>
      <c r="U18" s="5">
        <v>0</v>
      </c>
      <c r="V18" s="5">
        <v>0</v>
      </c>
      <c r="W18" t="s">
        <v>22</v>
      </c>
    </row>
    <row r="19" spans="1:23" x14ac:dyDescent="0.25">
      <c r="A19">
        <v>12475</v>
      </c>
      <c r="B19" t="s">
        <v>95</v>
      </c>
      <c r="C19" s="5">
        <v>4413.12</v>
      </c>
      <c r="D19" s="5">
        <f t="shared" si="0"/>
        <v>4413.12</v>
      </c>
      <c r="F19" s="1">
        <v>46023</v>
      </c>
      <c r="G19">
        <v>37</v>
      </c>
      <c r="H19" s="5">
        <v>5089.05</v>
      </c>
      <c r="I19" s="5">
        <v>4863.5600000000004</v>
      </c>
      <c r="J19" s="5">
        <v>-260.75</v>
      </c>
      <c r="K19" s="5">
        <v>56.1</v>
      </c>
      <c r="L19" s="5">
        <v>4658.91</v>
      </c>
      <c r="M19" s="5">
        <v>-73.260000000000005</v>
      </c>
      <c r="N19" s="5">
        <v>0</v>
      </c>
      <c r="O19" s="5">
        <v>-17.170000000000002</v>
      </c>
      <c r="P19" s="5">
        <v>0</v>
      </c>
      <c r="Q19" s="5">
        <v>0</v>
      </c>
      <c r="R19" s="5">
        <v>-155.36000000000001</v>
      </c>
      <c r="S19" s="5">
        <v>0</v>
      </c>
      <c r="T19" s="5">
        <v>0</v>
      </c>
      <c r="U19" s="5">
        <v>0</v>
      </c>
      <c r="V19" s="5">
        <v>0</v>
      </c>
      <c r="W19" t="s">
        <v>22</v>
      </c>
    </row>
    <row r="20" spans="1:23" x14ac:dyDescent="0.25">
      <c r="A20">
        <v>1138</v>
      </c>
      <c r="B20" t="s">
        <v>41</v>
      </c>
      <c r="C20" s="5">
        <v>3798.96</v>
      </c>
      <c r="D20" s="5">
        <f t="shared" si="0"/>
        <v>3798.96</v>
      </c>
      <c r="F20" s="1">
        <v>46023</v>
      </c>
      <c r="G20">
        <v>24</v>
      </c>
      <c r="H20" s="5">
        <v>2892.37</v>
      </c>
      <c r="I20" s="5">
        <v>3916.13</v>
      </c>
      <c r="J20" s="5">
        <v>-66.77</v>
      </c>
      <c r="K20" s="5">
        <v>0</v>
      </c>
      <c r="L20" s="5">
        <v>3849.36</v>
      </c>
      <c r="M20" s="5">
        <v>-47.52</v>
      </c>
      <c r="N20" s="5">
        <v>0</v>
      </c>
      <c r="O20" s="5">
        <v>-2.88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t="s">
        <v>22</v>
      </c>
    </row>
    <row r="21" spans="1:23" x14ac:dyDescent="0.25">
      <c r="A21">
        <v>4528</v>
      </c>
      <c r="B21" t="s">
        <v>92</v>
      </c>
      <c r="C21" s="5">
        <v>1970.91</v>
      </c>
      <c r="D21" s="5">
        <f t="shared" si="0"/>
        <v>1970.91</v>
      </c>
      <c r="F21" s="1">
        <v>46023</v>
      </c>
      <c r="G21">
        <v>16</v>
      </c>
      <c r="H21" s="5">
        <v>1982.65</v>
      </c>
      <c r="I21" s="5">
        <v>2050.8000000000002</v>
      </c>
      <c r="J21" s="5">
        <v>-44.6</v>
      </c>
      <c r="K21" s="5">
        <v>0</v>
      </c>
      <c r="L21" s="5">
        <v>2006.2</v>
      </c>
      <c r="M21" s="5">
        <v>-31.68</v>
      </c>
      <c r="N21" s="5">
        <v>0</v>
      </c>
      <c r="O21" s="5">
        <v>-3.61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t="s">
        <v>22</v>
      </c>
    </row>
    <row r="22" spans="1:23" x14ac:dyDescent="0.25">
      <c r="A22">
        <v>1954</v>
      </c>
      <c r="B22" t="s">
        <v>79</v>
      </c>
      <c r="C22" s="5">
        <v>5596.43</v>
      </c>
      <c r="D22" s="5">
        <f t="shared" si="0"/>
        <v>5596.43</v>
      </c>
      <c r="F22" s="1">
        <v>46023</v>
      </c>
      <c r="G22">
        <v>43</v>
      </c>
      <c r="H22" s="5">
        <v>6117.29</v>
      </c>
      <c r="I22" s="5">
        <v>6852.05</v>
      </c>
      <c r="J22" s="5">
        <v>-38.04</v>
      </c>
      <c r="K22" s="5">
        <v>-823.09</v>
      </c>
      <c r="L22" s="5">
        <v>5990.92</v>
      </c>
      <c r="M22" s="5">
        <v>-86.09</v>
      </c>
      <c r="N22" s="5">
        <v>0</v>
      </c>
      <c r="O22" s="5">
        <v>-66.849999999999994</v>
      </c>
      <c r="P22" s="5">
        <v>0</v>
      </c>
      <c r="Q22" s="5">
        <v>0</v>
      </c>
      <c r="R22" s="5">
        <v>-241.55</v>
      </c>
      <c r="S22" s="5">
        <v>0</v>
      </c>
      <c r="T22" s="5">
        <v>0</v>
      </c>
      <c r="U22" s="5">
        <v>0</v>
      </c>
      <c r="V22" s="5">
        <v>-0.95</v>
      </c>
      <c r="W22" t="s">
        <v>22</v>
      </c>
    </row>
    <row r="23" spans="1:23" x14ac:dyDescent="0.25">
      <c r="A23">
        <v>1836</v>
      </c>
      <c r="B23" t="s">
        <v>65</v>
      </c>
      <c r="C23" s="5">
        <v>1265.43</v>
      </c>
      <c r="D23" s="5">
        <f t="shared" si="0"/>
        <v>1265.43</v>
      </c>
      <c r="F23" s="1">
        <v>46023</v>
      </c>
      <c r="G23">
        <v>14</v>
      </c>
      <c r="H23" s="5">
        <v>2582.41</v>
      </c>
      <c r="I23" s="5">
        <v>1438.41</v>
      </c>
      <c r="J23" s="5">
        <v>-130.38999999999999</v>
      </c>
      <c r="K23" s="5">
        <v>0</v>
      </c>
      <c r="L23" s="5">
        <v>1308.02</v>
      </c>
      <c r="M23" s="5">
        <v>-27.72</v>
      </c>
      <c r="N23" s="5">
        <v>0</v>
      </c>
      <c r="O23" s="5">
        <v>-14.87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t="s">
        <v>22</v>
      </c>
    </row>
    <row r="24" spans="1:23" x14ac:dyDescent="0.25">
      <c r="A24">
        <v>1894</v>
      </c>
      <c r="B24" t="s">
        <v>68</v>
      </c>
      <c r="C24" s="5">
        <v>1838.53</v>
      </c>
      <c r="D24" s="5">
        <f t="shared" si="0"/>
        <v>1838.53</v>
      </c>
      <c r="F24" s="1">
        <v>46023</v>
      </c>
      <c r="G24">
        <v>25</v>
      </c>
      <c r="H24" s="5">
        <v>4935.4799999999996</v>
      </c>
      <c r="I24" s="5">
        <v>2026.36</v>
      </c>
      <c r="J24" s="5">
        <v>-17.010000000000002</v>
      </c>
      <c r="K24" s="5">
        <v>0</v>
      </c>
      <c r="L24" s="5">
        <v>2009.35</v>
      </c>
      <c r="M24" s="5">
        <v>-49.5</v>
      </c>
      <c r="N24" s="5">
        <v>0</v>
      </c>
      <c r="O24" s="5">
        <v>-20.84</v>
      </c>
      <c r="P24" s="5">
        <v>0</v>
      </c>
      <c r="Q24" s="5">
        <v>0</v>
      </c>
      <c r="R24" s="5">
        <v>-100.48</v>
      </c>
      <c r="S24" s="5">
        <v>0</v>
      </c>
      <c r="T24" s="5">
        <v>0</v>
      </c>
      <c r="U24" s="5">
        <v>0</v>
      </c>
      <c r="V24" s="5">
        <v>0</v>
      </c>
      <c r="W24" t="s">
        <v>22</v>
      </c>
    </row>
    <row r="25" spans="1:23" x14ac:dyDescent="0.25">
      <c r="A25">
        <v>1951</v>
      </c>
      <c r="B25" t="s">
        <v>78</v>
      </c>
      <c r="C25" s="5">
        <v>8619.7099999999991</v>
      </c>
      <c r="D25" s="5">
        <f t="shared" si="0"/>
        <v>8619.7099999999991</v>
      </c>
      <c r="F25" s="1">
        <v>46023</v>
      </c>
      <c r="G25">
        <v>65</v>
      </c>
      <c r="H25" s="5">
        <v>7252.8</v>
      </c>
      <c r="I25" s="5">
        <v>8811.5300000000007</v>
      </c>
      <c r="J25" s="5">
        <v>-38.97</v>
      </c>
      <c r="K25" s="5">
        <v>0</v>
      </c>
      <c r="L25" s="5">
        <v>8772.56</v>
      </c>
      <c r="M25" s="5">
        <v>-128.69999999999999</v>
      </c>
      <c r="N25" s="5">
        <v>0</v>
      </c>
      <c r="O25" s="5">
        <v>-24.15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t="s">
        <v>22</v>
      </c>
    </row>
    <row r="26" spans="1:23" x14ac:dyDescent="0.25">
      <c r="A26">
        <v>2496</v>
      </c>
      <c r="B26" t="s">
        <v>88</v>
      </c>
      <c r="C26" s="5">
        <v>1212.1199999999999</v>
      </c>
      <c r="D26" s="5">
        <f t="shared" si="0"/>
        <v>1212.1199999999999</v>
      </c>
      <c r="F26" s="1">
        <v>46023</v>
      </c>
      <c r="G26">
        <v>2</v>
      </c>
      <c r="H26" s="5">
        <v>235.46</v>
      </c>
      <c r="I26" s="5">
        <v>1255.25</v>
      </c>
      <c r="J26" s="5">
        <v>-34</v>
      </c>
      <c r="K26" s="5">
        <v>0</v>
      </c>
      <c r="L26" s="5">
        <v>1221.25</v>
      </c>
      <c r="M26" s="5">
        <v>-3.96</v>
      </c>
      <c r="N26" s="5">
        <v>0</v>
      </c>
      <c r="O26" s="5">
        <v>-5.17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t="s">
        <v>22</v>
      </c>
    </row>
    <row r="27" spans="1:23" x14ac:dyDescent="0.25">
      <c r="A27">
        <v>699</v>
      </c>
      <c r="B27" t="s">
        <v>38</v>
      </c>
      <c r="C27" s="5">
        <v>24349.95</v>
      </c>
      <c r="D27" s="5">
        <f t="shared" si="0"/>
        <v>24349.95</v>
      </c>
      <c r="F27" s="1">
        <v>46023</v>
      </c>
      <c r="G27">
        <v>139</v>
      </c>
      <c r="H27" s="5">
        <v>31687.73</v>
      </c>
      <c r="I27" s="5">
        <v>27158.98</v>
      </c>
      <c r="J27" s="5">
        <v>-1971.88</v>
      </c>
      <c r="K27" s="5">
        <v>13.49</v>
      </c>
      <c r="L27" s="5">
        <v>25200.59</v>
      </c>
      <c r="M27" s="5">
        <v>-275.22000000000003</v>
      </c>
      <c r="N27" s="5">
        <v>0</v>
      </c>
      <c r="O27" s="5">
        <v>-175.2</v>
      </c>
      <c r="P27" s="5">
        <v>0</v>
      </c>
      <c r="Q27" s="5">
        <v>0</v>
      </c>
      <c r="R27" s="5">
        <v>-400.22</v>
      </c>
      <c r="S27" s="5">
        <v>0</v>
      </c>
      <c r="T27" s="5">
        <v>0</v>
      </c>
      <c r="U27" s="5">
        <v>0</v>
      </c>
      <c r="V27" s="5">
        <v>0</v>
      </c>
      <c r="W27" t="s">
        <v>22</v>
      </c>
    </row>
    <row r="28" spans="1:23" x14ac:dyDescent="0.25">
      <c r="A28">
        <v>1597</v>
      </c>
      <c r="B28" t="s">
        <v>54</v>
      </c>
      <c r="C28" s="5">
        <v>2808.93</v>
      </c>
      <c r="D28" s="5">
        <f t="shared" si="0"/>
        <v>2808.93</v>
      </c>
      <c r="F28" s="1">
        <v>46023</v>
      </c>
      <c r="G28">
        <v>24</v>
      </c>
      <c r="H28" s="5">
        <v>3082.53</v>
      </c>
      <c r="I28" s="5">
        <v>3031.16</v>
      </c>
      <c r="J28" s="5">
        <v>-192.3</v>
      </c>
      <c r="K28" s="5">
        <v>18.54</v>
      </c>
      <c r="L28" s="5">
        <v>2857.4</v>
      </c>
      <c r="M28" s="5">
        <v>-48.47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-0.95</v>
      </c>
      <c r="W28" t="s">
        <v>22</v>
      </c>
    </row>
    <row r="29" spans="1:23" x14ac:dyDescent="0.25">
      <c r="A29">
        <v>708</v>
      </c>
      <c r="B29" t="s">
        <v>39</v>
      </c>
      <c r="C29" s="5">
        <v>8357.41</v>
      </c>
      <c r="D29" s="5">
        <f t="shared" si="0"/>
        <v>8357.41</v>
      </c>
      <c r="F29" s="1">
        <v>46023</v>
      </c>
      <c r="G29">
        <v>62</v>
      </c>
      <c r="H29" s="5">
        <v>9750.32</v>
      </c>
      <c r="I29" s="5">
        <v>8950.2000000000007</v>
      </c>
      <c r="J29" s="5">
        <v>-454.01</v>
      </c>
      <c r="K29" s="5">
        <v>28.07</v>
      </c>
      <c r="L29" s="5">
        <v>8524.26</v>
      </c>
      <c r="M29" s="5">
        <v>-122.76</v>
      </c>
      <c r="N29" s="5">
        <v>0</v>
      </c>
      <c r="O29" s="5">
        <v>-44.09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t="s">
        <v>22</v>
      </c>
    </row>
    <row r="30" spans="1:23" x14ac:dyDescent="0.25">
      <c r="A30">
        <v>1914</v>
      </c>
      <c r="B30" t="s">
        <v>74</v>
      </c>
      <c r="C30" s="5">
        <v>3768.07</v>
      </c>
      <c r="D30" s="5">
        <f t="shared" si="0"/>
        <v>3768.07</v>
      </c>
      <c r="F30" s="1">
        <v>46023</v>
      </c>
      <c r="G30">
        <v>10</v>
      </c>
      <c r="H30" s="5">
        <v>1524.01</v>
      </c>
      <c r="I30" s="5">
        <v>3803.99</v>
      </c>
      <c r="J30" s="5">
        <v>-16.12</v>
      </c>
      <c r="K30" s="5">
        <v>0</v>
      </c>
      <c r="L30" s="5">
        <v>3787.87</v>
      </c>
      <c r="M30" s="5">
        <v>-19.8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t="s">
        <v>22</v>
      </c>
    </row>
    <row r="31" spans="1:23" x14ac:dyDescent="0.25">
      <c r="A31">
        <v>1779</v>
      </c>
      <c r="B31" t="s">
        <v>61</v>
      </c>
      <c r="C31" s="5">
        <v>2185.9699999999998</v>
      </c>
      <c r="D31" s="5">
        <f t="shared" si="0"/>
        <v>2185.9699999999998</v>
      </c>
      <c r="F31" s="1">
        <v>46023</v>
      </c>
      <c r="G31">
        <v>11</v>
      </c>
      <c r="H31" s="5">
        <v>1035.07</v>
      </c>
      <c r="I31" s="5">
        <v>2231.06</v>
      </c>
      <c r="J31" s="5">
        <v>-17.23</v>
      </c>
      <c r="K31" s="5">
        <v>0</v>
      </c>
      <c r="L31" s="5">
        <v>2213.83</v>
      </c>
      <c r="M31" s="5">
        <v>-22.73</v>
      </c>
      <c r="N31" s="5">
        <v>0</v>
      </c>
      <c r="O31" s="5">
        <v>-5.13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-0.95</v>
      </c>
      <c r="W31" t="s">
        <v>22</v>
      </c>
    </row>
    <row r="32" spans="1:23" x14ac:dyDescent="0.25">
      <c r="A32">
        <v>1913</v>
      </c>
      <c r="B32" t="s">
        <v>73</v>
      </c>
      <c r="C32" s="5">
        <v>1159.6300000000001</v>
      </c>
      <c r="D32" s="5">
        <f t="shared" si="0"/>
        <v>1159.6300000000001</v>
      </c>
      <c r="F32" s="1">
        <v>46023</v>
      </c>
      <c r="G32">
        <v>10</v>
      </c>
      <c r="H32" s="5">
        <v>2192</v>
      </c>
      <c r="I32" s="5">
        <v>1207.1300000000001</v>
      </c>
      <c r="J32" s="5">
        <v>-27.7</v>
      </c>
      <c r="K32" s="5">
        <v>0</v>
      </c>
      <c r="L32" s="5">
        <v>1179.43</v>
      </c>
      <c r="M32" s="5">
        <v>-19.8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t="s">
        <v>22</v>
      </c>
    </row>
    <row r="33" spans="1:23" x14ac:dyDescent="0.25">
      <c r="A33">
        <v>679</v>
      </c>
      <c r="B33" t="s">
        <v>36</v>
      </c>
      <c r="C33" s="5">
        <v>2066.96</v>
      </c>
      <c r="D33" s="5">
        <f t="shared" si="0"/>
        <v>2066.96</v>
      </c>
      <c r="F33" s="1">
        <v>46023</v>
      </c>
      <c r="G33">
        <v>12</v>
      </c>
      <c r="H33" s="5">
        <v>2092.9299999999998</v>
      </c>
      <c r="I33" s="5">
        <v>2217.77</v>
      </c>
      <c r="J33" s="5">
        <v>0</v>
      </c>
      <c r="K33" s="5">
        <v>0</v>
      </c>
      <c r="L33" s="5">
        <v>2217.77</v>
      </c>
      <c r="M33" s="5">
        <v>-23.76</v>
      </c>
      <c r="N33" s="5">
        <v>0</v>
      </c>
      <c r="O33" s="5">
        <v>-10.91</v>
      </c>
      <c r="P33" s="5">
        <v>0</v>
      </c>
      <c r="Q33" s="5">
        <v>-116.14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t="s">
        <v>22</v>
      </c>
    </row>
    <row r="34" spans="1:23" x14ac:dyDescent="0.25">
      <c r="A34">
        <v>1870</v>
      </c>
      <c r="B34" t="s">
        <v>67</v>
      </c>
      <c r="C34" s="5">
        <v>6033.06</v>
      </c>
      <c r="D34" s="5">
        <f t="shared" si="0"/>
        <v>6033.06</v>
      </c>
      <c r="F34" s="1">
        <v>46023</v>
      </c>
      <c r="G34">
        <v>83</v>
      </c>
      <c r="H34" s="5">
        <v>3925.78</v>
      </c>
      <c r="I34" s="5">
        <v>6276.25</v>
      </c>
      <c r="J34" s="5">
        <v>0</v>
      </c>
      <c r="K34" s="5">
        <v>0</v>
      </c>
      <c r="L34" s="5">
        <v>6276.25</v>
      </c>
      <c r="M34" s="5">
        <v>-243.19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-78.849999999999994</v>
      </c>
      <c r="W34" t="s">
        <v>22</v>
      </c>
    </row>
    <row r="35" spans="1:23" x14ac:dyDescent="0.25">
      <c r="A35">
        <v>1869</v>
      </c>
      <c r="B35" t="s">
        <v>66</v>
      </c>
      <c r="C35" s="5">
        <v>7986.47</v>
      </c>
      <c r="D35" s="5">
        <f t="shared" ref="D35:D66" si="1">C35</f>
        <v>7986.47</v>
      </c>
      <c r="F35" s="1">
        <v>46023</v>
      </c>
      <c r="G35">
        <v>75</v>
      </c>
      <c r="H35" s="5">
        <v>5863.24</v>
      </c>
      <c r="I35" s="5">
        <v>8206.2199999999993</v>
      </c>
      <c r="J35" s="5">
        <v>0</v>
      </c>
      <c r="K35" s="5">
        <v>0</v>
      </c>
      <c r="L35" s="5">
        <v>8206.2199999999993</v>
      </c>
      <c r="M35" s="5">
        <v>-219.75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-71.25</v>
      </c>
      <c r="W35" t="s">
        <v>22</v>
      </c>
    </row>
    <row r="36" spans="1:23" x14ac:dyDescent="0.25">
      <c r="A36">
        <v>1981</v>
      </c>
      <c r="B36" t="s">
        <v>80</v>
      </c>
      <c r="C36" s="5">
        <v>677.96</v>
      </c>
      <c r="D36" s="5">
        <f t="shared" si="1"/>
        <v>677.96</v>
      </c>
      <c r="F36" s="1">
        <v>45992</v>
      </c>
      <c r="G36">
        <v>16</v>
      </c>
      <c r="H36" s="5">
        <v>3371.69</v>
      </c>
      <c r="I36" s="5">
        <v>724.84</v>
      </c>
      <c r="J36" s="5">
        <v>0</v>
      </c>
      <c r="K36" s="5">
        <v>0</v>
      </c>
      <c r="L36" s="5">
        <v>724.84</v>
      </c>
      <c r="M36" s="5">
        <v>-46.88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-15.2</v>
      </c>
      <c r="W36" t="s">
        <v>22</v>
      </c>
    </row>
    <row r="37" spans="1:23" x14ac:dyDescent="0.25">
      <c r="A37">
        <v>1714</v>
      </c>
      <c r="B37" t="s">
        <v>58</v>
      </c>
      <c r="C37" s="5">
        <v>308.35000000000002</v>
      </c>
      <c r="D37" s="5">
        <f t="shared" si="1"/>
        <v>308.35000000000002</v>
      </c>
      <c r="F37" s="1">
        <v>46023</v>
      </c>
      <c r="G37">
        <v>6</v>
      </c>
      <c r="H37" s="5">
        <v>403.01</v>
      </c>
      <c r="I37" s="5">
        <v>238.02</v>
      </c>
      <c r="J37" s="5">
        <v>0</v>
      </c>
      <c r="K37" s="5">
        <v>87.91</v>
      </c>
      <c r="L37" s="5">
        <v>325.93</v>
      </c>
      <c r="M37" s="5">
        <v>-17.579999999999998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-5.7</v>
      </c>
      <c r="W37" t="s">
        <v>22</v>
      </c>
    </row>
    <row r="38" spans="1:23" x14ac:dyDescent="0.25">
      <c r="A38">
        <v>619</v>
      </c>
      <c r="B38" t="s">
        <v>31</v>
      </c>
      <c r="C38" s="5">
        <v>4784.7700000000004</v>
      </c>
      <c r="D38" s="5">
        <f t="shared" si="1"/>
        <v>4784.7700000000004</v>
      </c>
      <c r="F38" s="1">
        <v>46023</v>
      </c>
      <c r="G38">
        <v>92</v>
      </c>
      <c r="H38" s="5">
        <v>4892.8599999999997</v>
      </c>
      <c r="I38" s="5">
        <v>4926.83</v>
      </c>
      <c r="J38" s="5">
        <v>0</v>
      </c>
      <c r="K38" s="5">
        <v>127.5</v>
      </c>
      <c r="L38" s="5">
        <v>5054.33</v>
      </c>
      <c r="M38" s="5">
        <v>-269.56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-87.4</v>
      </c>
      <c r="W38" t="s">
        <v>22</v>
      </c>
    </row>
    <row r="39" spans="1:23" x14ac:dyDescent="0.25">
      <c r="A39">
        <v>690</v>
      </c>
      <c r="B39" t="s">
        <v>37</v>
      </c>
      <c r="C39" s="5">
        <v>12494.61</v>
      </c>
      <c r="D39" s="5">
        <f t="shared" si="1"/>
        <v>12494.61</v>
      </c>
      <c r="F39" s="1">
        <v>46023</v>
      </c>
      <c r="G39">
        <v>96</v>
      </c>
      <c r="H39" s="5">
        <v>15483.17</v>
      </c>
      <c r="I39" s="5">
        <v>12767.91</v>
      </c>
      <c r="J39" s="5">
        <v>0</v>
      </c>
      <c r="K39" s="5">
        <v>0</v>
      </c>
      <c r="L39" s="5">
        <v>12767.91</v>
      </c>
      <c r="M39" s="5">
        <v>-190.08</v>
      </c>
      <c r="N39" s="5">
        <v>0</v>
      </c>
      <c r="O39" s="5">
        <v>-72.010000000000005</v>
      </c>
      <c r="P39" s="5">
        <v>0</v>
      </c>
      <c r="Q39" s="5">
        <v>0</v>
      </c>
      <c r="R39" s="5">
        <v>-11.21</v>
      </c>
      <c r="S39" s="5">
        <v>0</v>
      </c>
      <c r="T39" s="5">
        <v>0</v>
      </c>
      <c r="U39" s="5">
        <v>0</v>
      </c>
      <c r="V39" s="5">
        <v>0</v>
      </c>
      <c r="W39" t="s">
        <v>22</v>
      </c>
    </row>
    <row r="40" spans="1:23" x14ac:dyDescent="0.25">
      <c r="A40">
        <v>18</v>
      </c>
      <c r="B40" t="s">
        <v>21</v>
      </c>
      <c r="C40" s="5">
        <v>3269.11</v>
      </c>
      <c r="D40" s="5">
        <f t="shared" si="1"/>
        <v>3269.11</v>
      </c>
      <c r="F40" s="1">
        <v>46023</v>
      </c>
      <c r="G40">
        <v>28</v>
      </c>
      <c r="H40" s="5">
        <v>4679.17</v>
      </c>
      <c r="I40" s="5">
        <v>3426.67</v>
      </c>
      <c r="J40" s="5">
        <v>-102.12</v>
      </c>
      <c r="K40" s="5">
        <v>0</v>
      </c>
      <c r="L40" s="5">
        <v>3324.55</v>
      </c>
      <c r="M40" s="5">
        <v>-55.44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t="s">
        <v>22</v>
      </c>
    </row>
    <row r="41" spans="1:23" x14ac:dyDescent="0.25">
      <c r="A41">
        <v>1173</v>
      </c>
      <c r="B41" t="s">
        <v>42</v>
      </c>
      <c r="C41" s="5">
        <v>4819.37</v>
      </c>
      <c r="D41" s="5">
        <f t="shared" si="1"/>
        <v>4819.37</v>
      </c>
      <c r="F41" s="1">
        <v>46023</v>
      </c>
      <c r="G41">
        <v>36</v>
      </c>
      <c r="H41" s="5">
        <v>4021.12</v>
      </c>
      <c r="I41" s="5">
        <v>5414.76</v>
      </c>
      <c r="J41" s="5">
        <v>-304.58999999999997</v>
      </c>
      <c r="K41" s="5">
        <v>-196.19</v>
      </c>
      <c r="L41" s="5">
        <v>4913.9799999999996</v>
      </c>
      <c r="M41" s="5">
        <v>-71.28</v>
      </c>
      <c r="N41" s="5">
        <v>0</v>
      </c>
      <c r="O41" s="5">
        <v>-23.33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t="s">
        <v>22</v>
      </c>
    </row>
    <row r="42" spans="1:23" x14ac:dyDescent="0.25">
      <c r="A42">
        <v>1590</v>
      </c>
      <c r="B42" t="s">
        <v>53</v>
      </c>
      <c r="C42" s="5">
        <v>3698.05</v>
      </c>
      <c r="D42" s="5">
        <f t="shared" si="1"/>
        <v>3698.05</v>
      </c>
      <c r="F42" s="1">
        <v>46023</v>
      </c>
      <c r="G42">
        <v>9</v>
      </c>
      <c r="H42" s="5">
        <v>2627.96</v>
      </c>
      <c r="I42" s="5">
        <v>3951.31</v>
      </c>
      <c r="J42" s="5">
        <v>-225.85</v>
      </c>
      <c r="K42" s="5">
        <v>0</v>
      </c>
      <c r="L42" s="5">
        <v>3725.46</v>
      </c>
      <c r="M42" s="5">
        <v>-17.82</v>
      </c>
      <c r="N42" s="5">
        <v>0</v>
      </c>
      <c r="O42" s="5">
        <v>-9.59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t="s">
        <v>22</v>
      </c>
    </row>
    <row r="43" spans="1:23" x14ac:dyDescent="0.25">
      <c r="A43">
        <v>737</v>
      </c>
      <c r="B43" t="s">
        <v>40</v>
      </c>
      <c r="C43" s="5">
        <v>3065.24</v>
      </c>
      <c r="D43" s="5">
        <f t="shared" si="1"/>
        <v>3065.24</v>
      </c>
      <c r="F43" s="1">
        <v>46023</v>
      </c>
      <c r="G43">
        <v>33</v>
      </c>
      <c r="H43" s="5">
        <v>2972.91</v>
      </c>
      <c r="I43" s="5">
        <v>3100.58</v>
      </c>
      <c r="J43" s="5">
        <v>-33.770000000000003</v>
      </c>
      <c r="K43" s="5">
        <v>93.3</v>
      </c>
      <c r="L43" s="5">
        <v>3160.11</v>
      </c>
      <c r="M43" s="5">
        <v>-80.540000000000006</v>
      </c>
      <c r="N43" s="5">
        <v>0</v>
      </c>
      <c r="O43" s="5">
        <v>-14.33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-15.2</v>
      </c>
      <c r="W43" t="s">
        <v>22</v>
      </c>
    </row>
    <row r="44" spans="1:23" x14ac:dyDescent="0.25">
      <c r="A44">
        <v>71524</v>
      </c>
      <c r="B44" t="s">
        <v>101</v>
      </c>
      <c r="C44" s="5">
        <v>47478.02</v>
      </c>
      <c r="D44" s="5">
        <f t="shared" si="1"/>
        <v>47478.02</v>
      </c>
      <c r="F44" s="1">
        <v>46023</v>
      </c>
      <c r="G44">
        <v>604</v>
      </c>
      <c r="H44" s="5">
        <v>62981.87</v>
      </c>
      <c r="I44" s="5">
        <v>51519.03</v>
      </c>
      <c r="J44" s="5">
        <v>-2290.23</v>
      </c>
      <c r="K44" s="5">
        <v>-169.66</v>
      </c>
      <c r="L44" s="5">
        <v>49059.14</v>
      </c>
      <c r="M44" s="5">
        <v>-1453.37</v>
      </c>
      <c r="N44" s="5">
        <v>0</v>
      </c>
      <c r="O44" s="5">
        <v>-127.75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-257.45</v>
      </c>
      <c r="W44" t="s">
        <v>22</v>
      </c>
    </row>
    <row r="45" spans="1:23" x14ac:dyDescent="0.25">
      <c r="A45">
        <v>2492</v>
      </c>
      <c r="B45" t="s">
        <v>87</v>
      </c>
      <c r="C45" s="5">
        <v>3786.92</v>
      </c>
      <c r="D45" s="5">
        <f t="shared" si="1"/>
        <v>3786.92</v>
      </c>
      <c r="F45" s="1">
        <v>46023</v>
      </c>
      <c r="G45">
        <v>13</v>
      </c>
      <c r="H45" s="5">
        <v>3772.76</v>
      </c>
      <c r="I45" s="5">
        <v>4162.3999999999996</v>
      </c>
      <c r="J45" s="5">
        <v>-341.53</v>
      </c>
      <c r="K45" s="5">
        <v>0</v>
      </c>
      <c r="L45" s="5">
        <v>3820.87</v>
      </c>
      <c r="M45" s="5">
        <v>-25.74</v>
      </c>
      <c r="N45" s="5">
        <v>0</v>
      </c>
      <c r="O45" s="5">
        <v>-8.2100000000000009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t="s">
        <v>22</v>
      </c>
    </row>
    <row r="46" spans="1:23" x14ac:dyDescent="0.25">
      <c r="A46">
        <v>2253</v>
      </c>
      <c r="B46" t="s">
        <v>85</v>
      </c>
      <c r="C46" s="5">
        <v>3459.23</v>
      </c>
      <c r="D46" s="5">
        <f t="shared" si="1"/>
        <v>3459.23</v>
      </c>
      <c r="F46" s="1">
        <v>46023</v>
      </c>
      <c r="G46">
        <v>15</v>
      </c>
      <c r="H46" s="5">
        <v>3513.6</v>
      </c>
      <c r="I46" s="5">
        <v>4088.15</v>
      </c>
      <c r="J46" s="5">
        <v>-59.88</v>
      </c>
      <c r="K46" s="5">
        <v>0</v>
      </c>
      <c r="L46" s="5">
        <v>4028.27</v>
      </c>
      <c r="M46" s="5">
        <v>-29.7</v>
      </c>
      <c r="N46" s="5">
        <v>0</v>
      </c>
      <c r="O46" s="5">
        <v>-47.74</v>
      </c>
      <c r="P46" s="5">
        <v>0</v>
      </c>
      <c r="Q46" s="5">
        <v>0</v>
      </c>
      <c r="R46" s="5">
        <v>-491.6</v>
      </c>
      <c r="S46" s="5">
        <v>0</v>
      </c>
      <c r="T46" s="5">
        <v>0</v>
      </c>
      <c r="U46" s="5">
        <v>0</v>
      </c>
      <c r="V46" s="5">
        <v>0</v>
      </c>
      <c r="W46" t="s">
        <v>22</v>
      </c>
    </row>
    <row r="47" spans="1:23" x14ac:dyDescent="0.25">
      <c r="A47">
        <v>40</v>
      </c>
      <c r="B47" t="s">
        <v>27</v>
      </c>
      <c r="C47" s="5">
        <v>5574.55</v>
      </c>
      <c r="D47" s="5">
        <f t="shared" si="1"/>
        <v>5574.55</v>
      </c>
      <c r="F47" s="1">
        <v>46023</v>
      </c>
      <c r="G47">
        <v>47</v>
      </c>
      <c r="H47" s="5">
        <v>7697.08</v>
      </c>
      <c r="I47" s="5">
        <v>5937.15</v>
      </c>
      <c r="J47" s="5">
        <v>-206.49</v>
      </c>
      <c r="K47" s="5">
        <v>-30</v>
      </c>
      <c r="L47" s="5">
        <v>5700.66</v>
      </c>
      <c r="M47" s="5">
        <v>-93.06</v>
      </c>
      <c r="N47" s="5">
        <v>0</v>
      </c>
      <c r="O47" s="5">
        <v>-33.049999999999997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t="s">
        <v>22</v>
      </c>
    </row>
    <row r="48" spans="1:23" x14ac:dyDescent="0.25">
      <c r="A48">
        <v>1197</v>
      </c>
      <c r="B48" t="s">
        <v>43</v>
      </c>
      <c r="C48" s="5">
        <v>875.75</v>
      </c>
      <c r="D48" s="5">
        <f t="shared" si="1"/>
        <v>875.75</v>
      </c>
      <c r="F48" s="1">
        <v>46023</v>
      </c>
      <c r="G48">
        <v>16</v>
      </c>
      <c r="H48" s="5">
        <v>2076.8000000000002</v>
      </c>
      <c r="I48" s="5">
        <v>931.1</v>
      </c>
      <c r="J48" s="5">
        <v>-58.63</v>
      </c>
      <c r="K48" s="5">
        <v>37.86</v>
      </c>
      <c r="L48" s="5">
        <v>910.33</v>
      </c>
      <c r="M48" s="5">
        <v>-31.68</v>
      </c>
      <c r="N48" s="5">
        <v>0</v>
      </c>
      <c r="O48" s="5">
        <v>-2.9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t="s">
        <v>22</v>
      </c>
    </row>
    <row r="49" spans="1:23" x14ac:dyDescent="0.25">
      <c r="A49">
        <v>1200</v>
      </c>
      <c r="B49" t="s">
        <v>45</v>
      </c>
      <c r="C49" s="5">
        <v>28231.29</v>
      </c>
      <c r="D49" s="5">
        <f t="shared" si="1"/>
        <v>28231.29</v>
      </c>
      <c r="F49" s="1">
        <v>46023</v>
      </c>
      <c r="G49">
        <v>162</v>
      </c>
      <c r="H49" s="5">
        <v>43531.27</v>
      </c>
      <c r="I49" s="5">
        <v>28873.599999999999</v>
      </c>
      <c r="J49" s="5">
        <v>-149.26</v>
      </c>
      <c r="K49" s="5">
        <v>0</v>
      </c>
      <c r="L49" s="5">
        <v>28724.34</v>
      </c>
      <c r="M49" s="5">
        <v>-442.36</v>
      </c>
      <c r="N49" s="5">
        <v>0</v>
      </c>
      <c r="O49" s="5">
        <v>-49.97</v>
      </c>
      <c r="P49" s="5">
        <v>0</v>
      </c>
      <c r="Q49" s="5">
        <v>0</v>
      </c>
      <c r="R49" s="5">
        <v>-0.72</v>
      </c>
      <c r="S49" s="5">
        <v>0</v>
      </c>
      <c r="T49" s="5">
        <v>0</v>
      </c>
      <c r="U49" s="5">
        <v>0</v>
      </c>
      <c r="V49" s="5">
        <v>-121.6</v>
      </c>
      <c r="W49" t="s">
        <v>22</v>
      </c>
    </row>
    <row r="50" spans="1:23" x14ac:dyDescent="0.25">
      <c r="A50">
        <v>1201</v>
      </c>
      <c r="B50" t="s">
        <v>46</v>
      </c>
      <c r="C50" s="5">
        <v>4751.1099999999997</v>
      </c>
      <c r="D50" s="5">
        <f t="shared" si="1"/>
        <v>4751.1099999999997</v>
      </c>
      <c r="F50" s="1">
        <v>46023</v>
      </c>
      <c r="G50">
        <v>18</v>
      </c>
      <c r="H50" s="5">
        <v>3134.79</v>
      </c>
      <c r="I50" s="5">
        <v>5062.9399999999996</v>
      </c>
      <c r="J50" s="5">
        <v>-298.27999999999997</v>
      </c>
      <c r="K50" s="5">
        <v>53.46</v>
      </c>
      <c r="L50" s="5">
        <v>4818.12</v>
      </c>
      <c r="M50" s="5">
        <v>-35.64</v>
      </c>
      <c r="N50" s="5">
        <v>0</v>
      </c>
      <c r="O50" s="5">
        <v>-31.37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t="s">
        <v>22</v>
      </c>
    </row>
    <row r="51" spans="1:23" x14ac:dyDescent="0.25">
      <c r="A51">
        <v>1202</v>
      </c>
      <c r="B51" t="s">
        <v>47</v>
      </c>
      <c r="C51" s="5">
        <v>17202.919999999998</v>
      </c>
      <c r="D51" s="5">
        <f t="shared" si="1"/>
        <v>17202.919999999998</v>
      </c>
      <c r="F51" s="1">
        <v>46023</v>
      </c>
      <c r="G51">
        <v>146</v>
      </c>
      <c r="H51" s="5">
        <v>25721.9</v>
      </c>
      <c r="I51" s="5">
        <v>17746.36</v>
      </c>
      <c r="J51" s="5">
        <v>-102.03</v>
      </c>
      <c r="K51" s="5">
        <v>0</v>
      </c>
      <c r="L51" s="5">
        <v>17644.330000000002</v>
      </c>
      <c r="M51" s="5">
        <v>-394.53</v>
      </c>
      <c r="N51" s="5">
        <v>0</v>
      </c>
      <c r="O51" s="5">
        <v>-46.88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-105.45</v>
      </c>
      <c r="W51" t="s">
        <v>22</v>
      </c>
    </row>
    <row r="52" spans="1:23" x14ac:dyDescent="0.25">
      <c r="A52">
        <v>1895</v>
      </c>
      <c r="B52" t="s">
        <v>69</v>
      </c>
      <c r="C52" s="5">
        <v>273.39</v>
      </c>
      <c r="D52" s="5">
        <f t="shared" si="1"/>
        <v>273.39</v>
      </c>
      <c r="F52" s="1">
        <v>46023</v>
      </c>
      <c r="G52">
        <v>9</v>
      </c>
      <c r="H52" s="5">
        <v>1235.49</v>
      </c>
      <c r="I52" s="5">
        <v>294.26</v>
      </c>
      <c r="J52" s="5">
        <v>0</v>
      </c>
      <c r="K52" s="5">
        <v>0</v>
      </c>
      <c r="L52" s="5">
        <v>294.26</v>
      </c>
      <c r="M52" s="5">
        <v>-17.82</v>
      </c>
      <c r="N52" s="5">
        <v>0</v>
      </c>
      <c r="O52" s="5">
        <v>-3.05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t="s">
        <v>22</v>
      </c>
    </row>
    <row r="53" spans="1:23" x14ac:dyDescent="0.25">
      <c r="A53">
        <v>50</v>
      </c>
      <c r="B53" t="s">
        <v>28</v>
      </c>
      <c r="C53" s="5">
        <v>105930.94</v>
      </c>
      <c r="D53" s="5">
        <f t="shared" si="1"/>
        <v>105930.94</v>
      </c>
      <c r="F53" s="1">
        <v>46023</v>
      </c>
      <c r="G53">
        <v>765</v>
      </c>
      <c r="H53" s="5">
        <v>130316.05</v>
      </c>
      <c r="I53" s="5">
        <v>112491.98</v>
      </c>
      <c r="J53" s="5">
        <v>-3816.44</v>
      </c>
      <c r="K53" s="5">
        <v>-627.17999999999995</v>
      </c>
      <c r="L53" s="5">
        <v>108048.36</v>
      </c>
      <c r="M53" s="5">
        <v>-1520.4</v>
      </c>
      <c r="N53" s="5">
        <v>0</v>
      </c>
      <c r="O53" s="5">
        <v>-545.42999999999995</v>
      </c>
      <c r="P53" s="5">
        <v>0</v>
      </c>
      <c r="Q53" s="5">
        <v>0</v>
      </c>
      <c r="R53" s="5">
        <v>-51.59</v>
      </c>
      <c r="S53" s="5">
        <v>0</v>
      </c>
      <c r="T53" s="5">
        <v>0</v>
      </c>
      <c r="U53" s="5">
        <v>0</v>
      </c>
      <c r="V53" s="5">
        <v>-5.7</v>
      </c>
      <c r="W53" t="s">
        <v>22</v>
      </c>
    </row>
    <row r="54" spans="1:23" x14ac:dyDescent="0.25">
      <c r="A54">
        <v>68</v>
      </c>
      <c r="B54" t="s">
        <v>29</v>
      </c>
      <c r="C54" s="5">
        <v>118363.47</v>
      </c>
      <c r="D54" s="5">
        <f t="shared" si="1"/>
        <v>118363.47</v>
      </c>
      <c r="F54" s="1">
        <v>46023</v>
      </c>
      <c r="G54">
        <v>1011</v>
      </c>
      <c r="H54" s="5">
        <v>134113.15</v>
      </c>
      <c r="I54" s="5">
        <v>125534.29</v>
      </c>
      <c r="J54" s="5">
        <v>-3345.82</v>
      </c>
      <c r="K54" s="5">
        <v>-426.24</v>
      </c>
      <c r="L54" s="5">
        <v>121762.23</v>
      </c>
      <c r="M54" s="5">
        <v>-2201.2800000000002</v>
      </c>
      <c r="N54" s="5">
        <v>0</v>
      </c>
      <c r="O54" s="5">
        <v>-716.96</v>
      </c>
      <c r="P54" s="5">
        <v>0</v>
      </c>
      <c r="Q54" s="5">
        <v>0</v>
      </c>
      <c r="R54" s="5">
        <v>-480.52</v>
      </c>
      <c r="S54" s="5">
        <v>0</v>
      </c>
      <c r="T54" s="5">
        <v>0</v>
      </c>
      <c r="U54" s="5">
        <v>0</v>
      </c>
      <c r="V54" s="5">
        <v>-199.5</v>
      </c>
      <c r="W54" t="s">
        <v>22</v>
      </c>
    </row>
    <row r="55" spans="1:23" x14ac:dyDescent="0.25">
      <c r="A55">
        <v>13487</v>
      </c>
      <c r="B55" t="s">
        <v>97</v>
      </c>
      <c r="C55" s="5">
        <v>9051.14</v>
      </c>
      <c r="D55" s="5">
        <f t="shared" si="1"/>
        <v>9051.14</v>
      </c>
      <c r="F55" s="1">
        <v>46023</v>
      </c>
      <c r="G55">
        <v>80</v>
      </c>
      <c r="H55" s="5">
        <v>14119.48</v>
      </c>
      <c r="I55" s="5">
        <v>9596.18</v>
      </c>
      <c r="J55" s="5">
        <v>-330.03</v>
      </c>
      <c r="K55" s="5">
        <v>0</v>
      </c>
      <c r="L55" s="5">
        <v>9266.15</v>
      </c>
      <c r="M55" s="5">
        <v>-158.4</v>
      </c>
      <c r="N55" s="5">
        <v>0</v>
      </c>
      <c r="O55" s="5">
        <v>-56.61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t="s">
        <v>22</v>
      </c>
    </row>
    <row r="56" spans="1:23" x14ac:dyDescent="0.25">
      <c r="A56">
        <v>1911</v>
      </c>
      <c r="B56" t="s">
        <v>71</v>
      </c>
      <c r="C56" s="5">
        <v>40884.6</v>
      </c>
      <c r="D56" s="5">
        <f t="shared" si="1"/>
        <v>40884.6</v>
      </c>
      <c r="F56" s="1">
        <v>46023</v>
      </c>
      <c r="G56">
        <v>213</v>
      </c>
      <c r="H56" s="5">
        <v>39700.49</v>
      </c>
      <c r="I56" s="5">
        <v>42505.3</v>
      </c>
      <c r="J56" s="5">
        <v>-805</v>
      </c>
      <c r="K56" s="5">
        <v>-246.52</v>
      </c>
      <c r="L56" s="5">
        <v>41453.78</v>
      </c>
      <c r="M56" s="5">
        <v>-421.74</v>
      </c>
      <c r="N56" s="5">
        <v>0</v>
      </c>
      <c r="O56" s="5">
        <v>-147.44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t="s">
        <v>22</v>
      </c>
    </row>
    <row r="57" spans="1:23" x14ac:dyDescent="0.25">
      <c r="A57">
        <v>19</v>
      </c>
      <c r="B57" t="s">
        <v>23</v>
      </c>
      <c r="C57" s="5">
        <v>118921.09</v>
      </c>
      <c r="D57" s="5">
        <f t="shared" si="1"/>
        <v>118921.09</v>
      </c>
      <c r="F57" s="1">
        <v>46023</v>
      </c>
      <c r="G57">
        <v>1425</v>
      </c>
      <c r="H57" s="5">
        <v>227720.43</v>
      </c>
      <c r="I57" s="5">
        <v>125099.94</v>
      </c>
      <c r="J57" s="5">
        <v>-1830.04</v>
      </c>
      <c r="K57" s="5">
        <v>-326.37</v>
      </c>
      <c r="L57" s="5">
        <v>122943.53</v>
      </c>
      <c r="M57" s="5">
        <v>-3711.65</v>
      </c>
      <c r="N57" s="5">
        <v>0</v>
      </c>
      <c r="O57" s="5">
        <v>-217.42</v>
      </c>
      <c r="P57" s="5">
        <v>0</v>
      </c>
      <c r="Q57" s="5">
        <v>0</v>
      </c>
      <c r="R57" s="5">
        <v>-93.37</v>
      </c>
      <c r="S57" s="5">
        <v>0</v>
      </c>
      <c r="T57" s="5">
        <v>0</v>
      </c>
      <c r="U57" s="5">
        <v>0</v>
      </c>
      <c r="V57" s="5">
        <v>-890.15</v>
      </c>
      <c r="W57" t="s">
        <v>22</v>
      </c>
    </row>
    <row r="58" spans="1:23" x14ac:dyDescent="0.25">
      <c r="A58">
        <v>2260</v>
      </c>
      <c r="B58" t="s">
        <v>86</v>
      </c>
      <c r="C58" s="5">
        <v>8789.8700000000008</v>
      </c>
      <c r="D58" s="5">
        <f t="shared" si="1"/>
        <v>8789.8700000000008</v>
      </c>
      <c r="F58" s="1">
        <v>46023</v>
      </c>
      <c r="G58">
        <v>52</v>
      </c>
      <c r="H58" s="5">
        <v>14935.4</v>
      </c>
      <c r="I58" s="5">
        <v>9708</v>
      </c>
      <c r="J58" s="5">
        <v>-391.59</v>
      </c>
      <c r="K58" s="5">
        <v>16.899999999999999</v>
      </c>
      <c r="L58" s="5">
        <v>9333.31</v>
      </c>
      <c r="M58" s="5">
        <v>-102.96</v>
      </c>
      <c r="N58" s="5">
        <v>0</v>
      </c>
      <c r="O58" s="5">
        <v>-66.45</v>
      </c>
      <c r="P58" s="5">
        <v>0</v>
      </c>
      <c r="Q58" s="5">
        <v>0</v>
      </c>
      <c r="R58" s="5">
        <v>-374.03</v>
      </c>
      <c r="S58" s="5">
        <v>0</v>
      </c>
      <c r="T58" s="5">
        <v>0</v>
      </c>
      <c r="U58" s="5">
        <v>0</v>
      </c>
      <c r="V58" s="5">
        <v>0</v>
      </c>
      <c r="W58" t="s">
        <v>22</v>
      </c>
    </row>
    <row r="59" spans="1:23" x14ac:dyDescent="0.25">
      <c r="A59">
        <v>1215</v>
      </c>
      <c r="B59" t="s">
        <v>48</v>
      </c>
      <c r="C59" s="5">
        <v>5289.13</v>
      </c>
      <c r="D59" s="5">
        <f t="shared" si="1"/>
        <v>5289.13</v>
      </c>
      <c r="F59" s="1">
        <v>46023</v>
      </c>
      <c r="G59">
        <v>19</v>
      </c>
      <c r="H59" s="5">
        <v>5046.8500000000004</v>
      </c>
      <c r="I59" s="5">
        <v>5523.72</v>
      </c>
      <c r="J59" s="5">
        <v>-227.09</v>
      </c>
      <c r="K59" s="5">
        <v>35.86</v>
      </c>
      <c r="L59" s="5">
        <v>5332.49</v>
      </c>
      <c r="M59" s="5">
        <v>-37.619999999999997</v>
      </c>
      <c r="N59" s="5">
        <v>0</v>
      </c>
      <c r="O59" s="5">
        <v>-5.74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t="s">
        <v>22</v>
      </c>
    </row>
    <row r="60" spans="1:23" x14ac:dyDescent="0.25">
      <c r="A60">
        <v>35</v>
      </c>
      <c r="B60" t="s">
        <v>26</v>
      </c>
      <c r="C60" s="5">
        <v>723.23</v>
      </c>
      <c r="D60" s="5">
        <f t="shared" si="1"/>
        <v>723.23</v>
      </c>
      <c r="F60" s="1">
        <v>46023</v>
      </c>
      <c r="G60">
        <v>7</v>
      </c>
      <c r="H60" s="5">
        <v>954.82</v>
      </c>
      <c r="I60" s="5">
        <v>770.04</v>
      </c>
      <c r="J60" s="5">
        <v>-23.59</v>
      </c>
      <c r="K60" s="5">
        <v>0</v>
      </c>
      <c r="L60" s="5">
        <v>746.45</v>
      </c>
      <c r="M60" s="5">
        <v>-13.86</v>
      </c>
      <c r="N60" s="5">
        <v>0</v>
      </c>
      <c r="O60" s="5">
        <v>-9.36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t="s">
        <v>22</v>
      </c>
    </row>
    <row r="61" spans="1:23" x14ac:dyDescent="0.25">
      <c r="A61">
        <v>84273</v>
      </c>
      <c r="B61" t="s">
        <v>106</v>
      </c>
      <c r="C61" s="5">
        <v>17970.900000000001</v>
      </c>
      <c r="D61" s="5">
        <f t="shared" si="1"/>
        <v>17970.900000000001</v>
      </c>
      <c r="F61" s="1">
        <v>46023</v>
      </c>
      <c r="G61">
        <v>190</v>
      </c>
      <c r="H61" s="5">
        <v>20093.14</v>
      </c>
      <c r="I61" s="5">
        <v>18853.099999999999</v>
      </c>
      <c r="J61" s="5">
        <v>-69.849999999999994</v>
      </c>
      <c r="K61" s="5">
        <v>-208.14</v>
      </c>
      <c r="L61" s="5">
        <v>18575.11</v>
      </c>
      <c r="M61" s="5">
        <v>-379.05</v>
      </c>
      <c r="N61" s="5">
        <v>0</v>
      </c>
      <c r="O61" s="5">
        <v>-225.16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-2.85</v>
      </c>
      <c r="W61" t="s">
        <v>22</v>
      </c>
    </row>
    <row r="62" spans="1:23" x14ac:dyDescent="0.25">
      <c r="A62">
        <v>2557</v>
      </c>
      <c r="B62" t="s">
        <v>90</v>
      </c>
      <c r="C62" s="5">
        <v>4469.16</v>
      </c>
      <c r="D62" s="5">
        <f t="shared" si="1"/>
        <v>4469.16</v>
      </c>
      <c r="F62" s="1">
        <v>46023</v>
      </c>
      <c r="G62">
        <v>23</v>
      </c>
      <c r="H62" s="5">
        <v>4264.66</v>
      </c>
      <c r="I62" s="5">
        <v>4800.1899999999996</v>
      </c>
      <c r="J62" s="5">
        <v>-109.42</v>
      </c>
      <c r="K62" s="5">
        <v>0</v>
      </c>
      <c r="L62" s="5">
        <v>4690.7700000000004</v>
      </c>
      <c r="M62" s="5">
        <v>-45.54</v>
      </c>
      <c r="N62" s="5">
        <v>0</v>
      </c>
      <c r="O62" s="5">
        <v>-13.82</v>
      </c>
      <c r="P62" s="5">
        <v>0</v>
      </c>
      <c r="Q62" s="5">
        <v>0</v>
      </c>
      <c r="R62" s="5">
        <v>-162.25</v>
      </c>
      <c r="S62" s="5">
        <v>0</v>
      </c>
      <c r="T62" s="5">
        <v>0</v>
      </c>
      <c r="U62" s="5">
        <v>0</v>
      </c>
      <c r="V62" s="5">
        <v>0</v>
      </c>
      <c r="W62" t="s">
        <v>22</v>
      </c>
    </row>
    <row r="63" spans="1:23" x14ac:dyDescent="0.25">
      <c r="A63">
        <v>611</v>
      </c>
      <c r="B63" t="s">
        <v>30</v>
      </c>
      <c r="C63" s="5">
        <v>695.52</v>
      </c>
      <c r="D63" s="5">
        <f t="shared" si="1"/>
        <v>695.52</v>
      </c>
      <c r="F63" s="1">
        <v>46023</v>
      </c>
      <c r="G63">
        <v>6</v>
      </c>
      <c r="H63" s="5">
        <v>753.33</v>
      </c>
      <c r="I63" s="5">
        <v>707.4</v>
      </c>
      <c r="J63" s="5">
        <v>0</v>
      </c>
      <c r="K63" s="5">
        <v>0</v>
      </c>
      <c r="L63" s="5">
        <v>707.4</v>
      </c>
      <c r="M63" s="5">
        <v>-11.88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t="s">
        <v>22</v>
      </c>
    </row>
    <row r="64" spans="1:23" x14ac:dyDescent="0.25">
      <c r="A64">
        <v>642</v>
      </c>
      <c r="B64" t="s">
        <v>35</v>
      </c>
      <c r="C64" s="5">
        <v>4085.03</v>
      </c>
      <c r="D64" s="5">
        <f t="shared" si="1"/>
        <v>4085.03</v>
      </c>
      <c r="F64" s="1">
        <v>46023</v>
      </c>
      <c r="G64">
        <v>21</v>
      </c>
      <c r="H64" s="5">
        <v>3053.58</v>
      </c>
      <c r="I64" s="5">
        <v>4637.71</v>
      </c>
      <c r="J64" s="5">
        <v>-191.94</v>
      </c>
      <c r="K64" s="5">
        <v>12.85</v>
      </c>
      <c r="L64" s="5">
        <v>4458.62</v>
      </c>
      <c r="M64" s="5">
        <v>-41.58</v>
      </c>
      <c r="N64" s="5">
        <v>0</v>
      </c>
      <c r="O64" s="5">
        <v>-17.98</v>
      </c>
      <c r="P64" s="5">
        <v>0</v>
      </c>
      <c r="Q64" s="5">
        <v>0</v>
      </c>
      <c r="R64" s="5">
        <v>-314.02999999999997</v>
      </c>
      <c r="S64" s="5">
        <v>0</v>
      </c>
      <c r="T64" s="5">
        <v>0</v>
      </c>
      <c r="U64" s="5">
        <v>0</v>
      </c>
      <c r="V64" s="5">
        <v>0</v>
      </c>
      <c r="W64" t="s">
        <v>22</v>
      </c>
    </row>
    <row r="65" spans="1:23" x14ac:dyDescent="0.25">
      <c r="A65">
        <v>1223</v>
      </c>
      <c r="B65" t="s">
        <v>49</v>
      </c>
      <c r="C65" s="5">
        <v>1613.02</v>
      </c>
      <c r="D65" s="5">
        <f t="shared" si="1"/>
        <v>1613.02</v>
      </c>
      <c r="F65" s="1">
        <v>46023</v>
      </c>
      <c r="G65">
        <v>17</v>
      </c>
      <c r="H65" s="5">
        <v>2088.1</v>
      </c>
      <c r="I65" s="5">
        <v>1710.35</v>
      </c>
      <c r="J65" s="5">
        <v>-63.49</v>
      </c>
      <c r="K65" s="5">
        <v>11.07</v>
      </c>
      <c r="L65" s="5">
        <v>1657.93</v>
      </c>
      <c r="M65" s="5">
        <v>-33.659999999999997</v>
      </c>
      <c r="N65" s="5">
        <v>0</v>
      </c>
      <c r="O65" s="5">
        <v>-11.25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t="s">
        <v>22</v>
      </c>
    </row>
    <row r="66" spans="1:23" x14ac:dyDescent="0.25">
      <c r="A66">
        <v>1483</v>
      </c>
      <c r="B66" t="s">
        <v>52</v>
      </c>
      <c r="C66" s="5">
        <v>4646.59</v>
      </c>
      <c r="D66" s="5">
        <f t="shared" si="1"/>
        <v>4646.59</v>
      </c>
      <c r="F66" s="1">
        <v>46023</v>
      </c>
      <c r="G66">
        <v>54</v>
      </c>
      <c r="H66" s="5">
        <v>7282.49</v>
      </c>
      <c r="I66" s="5">
        <v>5857.77</v>
      </c>
      <c r="J66" s="5">
        <v>-241.93</v>
      </c>
      <c r="K66" s="5">
        <v>-432.52</v>
      </c>
      <c r="L66" s="5">
        <v>5183.32</v>
      </c>
      <c r="M66" s="5">
        <v>-107.87</v>
      </c>
      <c r="N66" s="5">
        <v>0</v>
      </c>
      <c r="O66" s="5">
        <v>-56.14</v>
      </c>
      <c r="P66" s="5">
        <v>0</v>
      </c>
      <c r="Q66" s="5">
        <v>0</v>
      </c>
      <c r="R66" s="5">
        <v>-372.72</v>
      </c>
      <c r="S66" s="5">
        <v>0</v>
      </c>
      <c r="T66" s="5">
        <v>0</v>
      </c>
      <c r="U66" s="5">
        <v>0</v>
      </c>
      <c r="V66" s="5">
        <v>-0.95</v>
      </c>
      <c r="W66" t="s">
        <v>22</v>
      </c>
    </row>
    <row r="67" spans="1:23" x14ac:dyDescent="0.25">
      <c r="A67">
        <v>1616</v>
      </c>
      <c r="B67" t="s">
        <v>55</v>
      </c>
      <c r="C67" s="5">
        <v>2849.78</v>
      </c>
      <c r="D67" s="5">
        <f t="shared" ref="D67:D98" si="2">C67</f>
        <v>2849.78</v>
      </c>
      <c r="F67" s="1">
        <v>46023</v>
      </c>
      <c r="G67">
        <v>22</v>
      </c>
      <c r="H67" s="5">
        <v>3607.5</v>
      </c>
      <c r="I67" s="5">
        <v>3191.12</v>
      </c>
      <c r="J67" s="5">
        <v>-169.16</v>
      </c>
      <c r="K67" s="5">
        <v>-125.03</v>
      </c>
      <c r="L67" s="5">
        <v>2896.93</v>
      </c>
      <c r="M67" s="5">
        <v>-43.56</v>
      </c>
      <c r="N67" s="5">
        <v>0</v>
      </c>
      <c r="O67" s="5">
        <v>-3.59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t="s">
        <v>22</v>
      </c>
    </row>
    <row r="68" spans="1:23" x14ac:dyDescent="0.25">
      <c r="A68">
        <v>1199</v>
      </c>
      <c r="B68" t="s">
        <v>44</v>
      </c>
      <c r="C68" s="5">
        <v>3262.99</v>
      </c>
      <c r="D68" s="5">
        <f t="shared" si="2"/>
        <v>3262.99</v>
      </c>
      <c r="F68" s="1">
        <v>46023</v>
      </c>
      <c r="G68">
        <v>29</v>
      </c>
      <c r="H68" s="5">
        <v>4093.31</v>
      </c>
      <c r="I68" s="5">
        <v>3426.64</v>
      </c>
      <c r="J68" s="5">
        <v>-83.36</v>
      </c>
      <c r="K68" s="5">
        <v>0</v>
      </c>
      <c r="L68" s="5">
        <v>3343.28</v>
      </c>
      <c r="M68" s="5">
        <v>-59.32</v>
      </c>
      <c r="N68" s="5">
        <v>0</v>
      </c>
      <c r="O68" s="5">
        <v>-20.97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-1.9</v>
      </c>
      <c r="W68" t="s">
        <v>22</v>
      </c>
    </row>
    <row r="69" spans="1:23" x14ac:dyDescent="0.25">
      <c r="A69">
        <v>1697</v>
      </c>
      <c r="B69" t="s">
        <v>56</v>
      </c>
      <c r="C69" s="5">
        <v>48353.66</v>
      </c>
      <c r="D69" s="5">
        <f t="shared" si="2"/>
        <v>48353.66</v>
      </c>
      <c r="F69" s="1">
        <v>46023</v>
      </c>
      <c r="G69">
        <v>532</v>
      </c>
      <c r="H69" s="5">
        <v>51033.63</v>
      </c>
      <c r="I69" s="5">
        <v>50739.61</v>
      </c>
      <c r="J69" s="5">
        <v>-169.14</v>
      </c>
      <c r="K69" s="5">
        <v>-202.78</v>
      </c>
      <c r="L69" s="5">
        <v>50367.69</v>
      </c>
      <c r="M69" s="5">
        <v>-1178.76</v>
      </c>
      <c r="N69" s="5">
        <v>0</v>
      </c>
      <c r="O69" s="5">
        <v>-303.91000000000003</v>
      </c>
      <c r="P69" s="5">
        <v>0</v>
      </c>
      <c r="Q69" s="5">
        <v>0</v>
      </c>
      <c r="R69" s="5">
        <v>-531.36</v>
      </c>
      <c r="S69" s="5">
        <v>0</v>
      </c>
      <c r="T69" s="5">
        <v>0</v>
      </c>
      <c r="U69" s="5">
        <v>0</v>
      </c>
      <c r="V69" s="5">
        <v>-125.4</v>
      </c>
      <c r="W69" t="s">
        <v>22</v>
      </c>
    </row>
    <row r="70" spans="1:23" x14ac:dyDescent="0.25">
      <c r="A70">
        <v>1704</v>
      </c>
      <c r="B70" t="s">
        <v>57</v>
      </c>
      <c r="C70" s="5">
        <v>4137.8</v>
      </c>
      <c r="D70" s="5">
        <f t="shared" si="2"/>
        <v>4137.8</v>
      </c>
      <c r="F70" s="1">
        <v>46023</v>
      </c>
      <c r="G70">
        <v>27</v>
      </c>
      <c r="H70" s="5">
        <v>5209.1000000000004</v>
      </c>
      <c r="I70" s="5">
        <v>4554.99</v>
      </c>
      <c r="J70" s="5">
        <v>-148.69999999999999</v>
      </c>
      <c r="K70" s="5">
        <v>-127.23</v>
      </c>
      <c r="L70" s="5">
        <v>4279.0600000000004</v>
      </c>
      <c r="M70" s="5">
        <v>-53.46</v>
      </c>
      <c r="N70" s="5">
        <v>0</v>
      </c>
      <c r="O70" s="5">
        <v>-11.26</v>
      </c>
      <c r="P70" s="5">
        <v>0</v>
      </c>
      <c r="Q70" s="5">
        <v>0</v>
      </c>
      <c r="R70" s="5">
        <v>-76.540000000000006</v>
      </c>
      <c r="S70" s="5">
        <v>0</v>
      </c>
      <c r="T70" s="5">
        <v>0</v>
      </c>
      <c r="U70" s="5">
        <v>0</v>
      </c>
      <c r="V70" s="5">
        <v>0</v>
      </c>
      <c r="W70" t="s">
        <v>22</v>
      </c>
    </row>
    <row r="71" spans="1:23" x14ac:dyDescent="0.25">
      <c r="A71">
        <v>1896</v>
      </c>
      <c r="B71" t="s">
        <v>70</v>
      </c>
      <c r="C71" s="5">
        <v>108.01</v>
      </c>
      <c r="D71" s="5">
        <f t="shared" si="2"/>
        <v>108.01</v>
      </c>
      <c r="F71" s="1">
        <v>46023</v>
      </c>
      <c r="G71">
        <v>2</v>
      </c>
      <c r="H71" s="5">
        <v>192.45</v>
      </c>
      <c r="I71" s="5">
        <v>124.41</v>
      </c>
      <c r="J71" s="5">
        <v>-12.44</v>
      </c>
      <c r="K71" s="5">
        <v>0</v>
      </c>
      <c r="L71" s="5">
        <v>111.97</v>
      </c>
      <c r="M71" s="5">
        <v>-3.96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t="s">
        <v>22</v>
      </c>
    </row>
    <row r="72" spans="1:23" s="7" customFormat="1" x14ac:dyDescent="0.25">
      <c r="A72" s="7">
        <v>1810</v>
      </c>
      <c r="B72" s="7" t="s">
        <v>62</v>
      </c>
      <c r="C72" s="11">
        <v>48.49</v>
      </c>
      <c r="D72" s="11">
        <f t="shared" si="2"/>
        <v>48.49</v>
      </c>
      <c r="E72" s="11"/>
      <c r="F72" s="12">
        <v>46023</v>
      </c>
      <c r="G72" s="7">
        <v>0</v>
      </c>
      <c r="H72" s="11">
        <v>0</v>
      </c>
      <c r="I72" s="11">
        <v>48.49</v>
      </c>
      <c r="J72" s="11">
        <v>0</v>
      </c>
      <c r="K72" s="11">
        <v>0</v>
      </c>
      <c r="L72" s="11">
        <v>48.49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 t="s">
        <v>22</v>
      </c>
    </row>
    <row r="73" spans="1:23" x14ac:dyDescent="0.25">
      <c r="A73">
        <v>640</v>
      </c>
      <c r="B73" t="s">
        <v>34</v>
      </c>
      <c r="C73" s="5">
        <v>553.83000000000004</v>
      </c>
      <c r="D73" s="5">
        <f t="shared" si="2"/>
        <v>553.83000000000004</v>
      </c>
      <c r="F73" s="1">
        <v>46023</v>
      </c>
      <c r="G73">
        <v>0</v>
      </c>
      <c r="H73" s="5">
        <v>0</v>
      </c>
      <c r="I73" s="5">
        <v>566.76</v>
      </c>
      <c r="J73" s="5">
        <v>-19.95</v>
      </c>
      <c r="K73" s="5">
        <v>7.02</v>
      </c>
      <c r="L73" s="5">
        <v>553.83000000000004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t="s">
        <v>22</v>
      </c>
    </row>
    <row r="74" spans="1:23" x14ac:dyDescent="0.25">
      <c r="A74">
        <v>1990</v>
      </c>
      <c r="B74" t="s">
        <v>81</v>
      </c>
      <c r="C74" s="5">
        <v>4745.07</v>
      </c>
      <c r="D74" s="5">
        <f t="shared" si="2"/>
        <v>4745.07</v>
      </c>
      <c r="F74" s="1">
        <v>46023</v>
      </c>
      <c r="G74">
        <v>24</v>
      </c>
      <c r="H74" s="5">
        <v>7380.83</v>
      </c>
      <c r="I74" s="5">
        <v>4792.59</v>
      </c>
      <c r="J74" s="5">
        <v>0</v>
      </c>
      <c r="K74" s="5">
        <v>0</v>
      </c>
      <c r="L74" s="5">
        <v>4792.59</v>
      </c>
      <c r="M74" s="5">
        <v>-47.52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t="s">
        <v>22</v>
      </c>
    </row>
    <row r="75" spans="1:23" x14ac:dyDescent="0.25">
      <c r="A75">
        <v>1237</v>
      </c>
      <c r="B75" t="s">
        <v>50</v>
      </c>
      <c r="C75" s="5">
        <v>68734.990000000005</v>
      </c>
      <c r="D75" s="5">
        <f t="shared" si="2"/>
        <v>68734.990000000005</v>
      </c>
      <c r="F75" s="1">
        <v>46023</v>
      </c>
      <c r="G75">
        <v>524</v>
      </c>
      <c r="H75" s="5">
        <v>74121.929999999993</v>
      </c>
      <c r="I75" s="5">
        <v>74898.850000000006</v>
      </c>
      <c r="J75" s="5">
        <v>-1480.57</v>
      </c>
      <c r="K75" s="5">
        <v>32.32</v>
      </c>
      <c r="L75" s="5">
        <v>73450.600000000006</v>
      </c>
      <c r="M75" s="5">
        <v>-1126.82</v>
      </c>
      <c r="N75" s="5">
        <v>0</v>
      </c>
      <c r="O75" s="5">
        <v>-899.77</v>
      </c>
      <c r="P75" s="5">
        <v>0</v>
      </c>
      <c r="Q75" s="5">
        <v>-19.559999999999999</v>
      </c>
      <c r="R75" s="5">
        <v>-2669.46</v>
      </c>
      <c r="S75" s="5">
        <v>0</v>
      </c>
      <c r="T75" s="5">
        <v>0</v>
      </c>
      <c r="U75" s="5">
        <v>0</v>
      </c>
      <c r="V75" s="5">
        <v>-89.3</v>
      </c>
      <c r="W75" t="s">
        <v>22</v>
      </c>
    </row>
    <row r="76" spans="1:23" x14ac:dyDescent="0.25">
      <c r="A76">
        <v>2499</v>
      </c>
      <c r="B76" t="s">
        <v>89</v>
      </c>
      <c r="C76" s="5">
        <v>42210.76</v>
      </c>
      <c r="D76" s="5">
        <f t="shared" si="2"/>
        <v>42210.76</v>
      </c>
      <c r="F76" s="1">
        <v>46023</v>
      </c>
      <c r="G76">
        <v>0</v>
      </c>
      <c r="H76" s="5">
        <v>0</v>
      </c>
      <c r="I76" s="5">
        <v>42882.42</v>
      </c>
      <c r="J76" s="5">
        <v>-617</v>
      </c>
      <c r="K76" s="5">
        <v>54.21</v>
      </c>
      <c r="L76" s="5">
        <v>42319.63</v>
      </c>
      <c r="M76" s="5">
        <v>0</v>
      </c>
      <c r="N76" s="5">
        <v>0</v>
      </c>
      <c r="O76" s="5">
        <v>-70.44</v>
      </c>
      <c r="P76" s="5">
        <v>0</v>
      </c>
      <c r="Q76" s="5">
        <v>-30.73</v>
      </c>
      <c r="R76" s="5">
        <v>-7.7</v>
      </c>
      <c r="S76" s="5">
        <v>0</v>
      </c>
      <c r="T76" s="5">
        <v>0</v>
      </c>
      <c r="U76" s="5">
        <v>0</v>
      </c>
      <c r="V76" s="5">
        <v>0</v>
      </c>
      <c r="W76" t="s">
        <v>22</v>
      </c>
    </row>
    <row r="77" spans="1:23" x14ac:dyDescent="0.25">
      <c r="A77">
        <v>13486</v>
      </c>
      <c r="B77" t="s">
        <v>96</v>
      </c>
      <c r="C77" s="5">
        <v>573165.42000000004</v>
      </c>
      <c r="D77" s="5">
        <f t="shared" si="2"/>
        <v>573165.42000000004</v>
      </c>
      <c r="F77" s="1">
        <v>46023</v>
      </c>
      <c r="G77">
        <v>5828</v>
      </c>
      <c r="H77" s="5">
        <v>633666.11</v>
      </c>
      <c r="I77" s="5">
        <v>600211.11</v>
      </c>
      <c r="J77" s="5">
        <v>-1610.02</v>
      </c>
      <c r="K77" s="5">
        <v>-7899.37</v>
      </c>
      <c r="L77" s="5">
        <v>590701.72</v>
      </c>
      <c r="M77" s="5">
        <v>-16120.34</v>
      </c>
      <c r="N77" s="5">
        <v>0</v>
      </c>
      <c r="O77" s="5">
        <v>-483.76</v>
      </c>
      <c r="P77" s="5">
        <v>0</v>
      </c>
      <c r="Q77" s="5">
        <v>0</v>
      </c>
      <c r="R77" s="5">
        <v>-932.2</v>
      </c>
      <c r="S77" s="5">
        <v>0</v>
      </c>
      <c r="T77" s="5">
        <v>0</v>
      </c>
      <c r="U77" s="5">
        <v>0</v>
      </c>
      <c r="V77" s="5">
        <v>-4580.8999999999996</v>
      </c>
      <c r="W77" t="s">
        <v>22</v>
      </c>
    </row>
    <row r="78" spans="1:23" x14ac:dyDescent="0.25">
      <c r="A78">
        <v>1912</v>
      </c>
      <c r="B78" t="s">
        <v>72</v>
      </c>
      <c r="C78" s="5">
        <v>1586.8</v>
      </c>
      <c r="D78" s="5">
        <f t="shared" si="2"/>
        <v>1586.8</v>
      </c>
      <c r="F78" s="1">
        <v>46023</v>
      </c>
      <c r="G78">
        <v>24</v>
      </c>
      <c r="H78" s="5">
        <v>2697.94</v>
      </c>
      <c r="I78" s="5">
        <v>1688.33</v>
      </c>
      <c r="J78" s="5">
        <v>-50.16</v>
      </c>
      <c r="K78" s="5">
        <v>0</v>
      </c>
      <c r="L78" s="5">
        <v>1638.17</v>
      </c>
      <c r="M78" s="5">
        <v>-47.52</v>
      </c>
      <c r="N78" s="5">
        <v>0</v>
      </c>
      <c r="O78" s="5">
        <v>-3.85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t="s">
        <v>22</v>
      </c>
    </row>
    <row r="79" spans="1:23" x14ac:dyDescent="0.25">
      <c r="A79">
        <v>1746</v>
      </c>
      <c r="B79" t="s">
        <v>60</v>
      </c>
      <c r="C79" s="5">
        <v>11509</v>
      </c>
      <c r="D79" s="5">
        <f t="shared" si="2"/>
        <v>11509</v>
      </c>
      <c r="F79" s="1">
        <v>46023</v>
      </c>
      <c r="G79">
        <v>95</v>
      </c>
      <c r="H79" s="5">
        <v>18986.669999999998</v>
      </c>
      <c r="I79" s="5">
        <v>17038.37</v>
      </c>
      <c r="J79" s="5">
        <v>-479.63</v>
      </c>
      <c r="K79" s="5">
        <v>-4788.13</v>
      </c>
      <c r="L79" s="5">
        <v>11770.61</v>
      </c>
      <c r="M79" s="5">
        <v>-188.1</v>
      </c>
      <c r="N79" s="5">
        <v>0</v>
      </c>
      <c r="O79" s="5">
        <v>-73.510000000000005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t="s">
        <v>22</v>
      </c>
    </row>
    <row r="80" spans="1:23" x14ac:dyDescent="0.25">
      <c r="A80">
        <v>20</v>
      </c>
      <c r="B80" t="s">
        <v>24</v>
      </c>
      <c r="C80" s="5">
        <v>8631.4500000000007</v>
      </c>
      <c r="D80" s="5">
        <f t="shared" si="2"/>
        <v>8631.4500000000007</v>
      </c>
      <c r="F80" s="1">
        <v>46023</v>
      </c>
      <c r="G80">
        <v>59</v>
      </c>
      <c r="H80" s="5">
        <v>8765.2999999999993</v>
      </c>
      <c r="I80" s="5">
        <v>9020.84</v>
      </c>
      <c r="J80" s="5">
        <v>-240.8</v>
      </c>
      <c r="K80" s="5">
        <v>0</v>
      </c>
      <c r="L80" s="5">
        <v>8780.0400000000009</v>
      </c>
      <c r="M80" s="5">
        <v>-129.16999999999999</v>
      </c>
      <c r="N80" s="5">
        <v>0</v>
      </c>
      <c r="O80" s="5">
        <v>-19.420000000000002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-12.35</v>
      </c>
      <c r="W80" t="s">
        <v>22</v>
      </c>
    </row>
    <row r="81" spans="1:23" x14ac:dyDescent="0.25">
      <c r="A81">
        <v>1246</v>
      </c>
      <c r="B81" t="s">
        <v>51</v>
      </c>
      <c r="C81" s="5">
        <v>1580.75</v>
      </c>
      <c r="D81" s="5">
        <f t="shared" si="2"/>
        <v>1580.75</v>
      </c>
      <c r="F81" s="1">
        <v>46023</v>
      </c>
      <c r="G81">
        <v>19</v>
      </c>
      <c r="H81" s="5">
        <v>3638.83</v>
      </c>
      <c r="I81" s="5">
        <v>1696.02</v>
      </c>
      <c r="J81" s="5">
        <v>-59.75</v>
      </c>
      <c r="K81" s="5">
        <v>0</v>
      </c>
      <c r="L81" s="5">
        <v>1636.27</v>
      </c>
      <c r="M81" s="5">
        <v>-37.619999999999997</v>
      </c>
      <c r="N81" s="5">
        <v>0</v>
      </c>
      <c r="O81" s="5">
        <v>-17.899999999999999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t="s">
        <v>22</v>
      </c>
    </row>
    <row r="82" spans="1:23" x14ac:dyDescent="0.25">
      <c r="A82">
        <v>1831</v>
      </c>
      <c r="B82" t="s">
        <v>64</v>
      </c>
      <c r="C82" s="5">
        <v>1497.29</v>
      </c>
      <c r="D82" s="5">
        <f t="shared" si="2"/>
        <v>1497.29</v>
      </c>
      <c r="F82" s="1">
        <v>46023</v>
      </c>
      <c r="G82">
        <v>6</v>
      </c>
      <c r="H82" s="5">
        <v>1122.06</v>
      </c>
      <c r="I82" s="5">
        <v>1555</v>
      </c>
      <c r="J82" s="5">
        <v>-38.159999999999997</v>
      </c>
      <c r="K82" s="5">
        <v>0</v>
      </c>
      <c r="L82" s="5">
        <v>1516.84</v>
      </c>
      <c r="M82" s="5">
        <v>-11.88</v>
      </c>
      <c r="N82" s="5">
        <v>0</v>
      </c>
      <c r="O82" s="5">
        <v>-7.67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t="s">
        <v>22</v>
      </c>
    </row>
    <row r="83" spans="1:23" x14ac:dyDescent="0.25">
      <c r="A83">
        <v>1742</v>
      </c>
      <c r="B83" t="s">
        <v>59</v>
      </c>
      <c r="C83" s="5">
        <v>268.7</v>
      </c>
      <c r="D83" s="5">
        <f t="shared" si="2"/>
        <v>268.7</v>
      </c>
      <c r="F83" s="1">
        <v>46023</v>
      </c>
      <c r="G83">
        <v>6</v>
      </c>
      <c r="H83" s="5">
        <v>1726.42</v>
      </c>
      <c r="I83" s="5">
        <v>311.75</v>
      </c>
      <c r="J83" s="5">
        <v>-31.17</v>
      </c>
      <c r="K83" s="5">
        <v>0</v>
      </c>
      <c r="L83" s="5">
        <v>280.58</v>
      </c>
      <c r="M83" s="5">
        <v>-11.88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t="s">
        <v>22</v>
      </c>
    </row>
    <row r="84" spans="1:23" x14ac:dyDescent="0.25">
      <c r="A84">
        <v>1943</v>
      </c>
      <c r="B84" t="s">
        <v>76</v>
      </c>
      <c r="C84" s="5">
        <v>114.12</v>
      </c>
      <c r="D84" s="5">
        <f t="shared" si="2"/>
        <v>114.12</v>
      </c>
      <c r="F84" s="1">
        <v>46023</v>
      </c>
      <c r="G84">
        <v>2</v>
      </c>
      <c r="H84" s="5">
        <v>209.22</v>
      </c>
      <c r="I84" s="5">
        <v>135.05000000000001</v>
      </c>
      <c r="J84" s="5">
        <v>-13.51</v>
      </c>
      <c r="K84" s="5">
        <v>0</v>
      </c>
      <c r="L84" s="5">
        <v>121.54</v>
      </c>
      <c r="M84" s="5">
        <v>-3.96</v>
      </c>
      <c r="N84" s="5">
        <v>0</v>
      </c>
      <c r="O84" s="5">
        <v>-3.46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t="s">
        <v>22</v>
      </c>
    </row>
    <row r="85" spans="1:23" x14ac:dyDescent="0.25">
      <c r="A85">
        <v>1944</v>
      </c>
      <c r="B85" t="s">
        <v>77</v>
      </c>
      <c r="C85" s="5">
        <v>254.92</v>
      </c>
      <c r="D85" s="5">
        <f t="shared" si="2"/>
        <v>254.92</v>
      </c>
      <c r="F85" s="1">
        <v>46023</v>
      </c>
      <c r="G85">
        <v>3</v>
      </c>
      <c r="H85" s="5">
        <v>351.93</v>
      </c>
      <c r="I85" s="5">
        <v>390.96</v>
      </c>
      <c r="J85" s="5">
        <v>-12.58</v>
      </c>
      <c r="K85" s="5">
        <v>-117.52</v>
      </c>
      <c r="L85" s="5">
        <v>260.86</v>
      </c>
      <c r="M85" s="5">
        <v>-5.94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t="s">
        <v>22</v>
      </c>
    </row>
    <row r="86" spans="1:23" x14ac:dyDescent="0.25">
      <c r="A86">
        <v>622</v>
      </c>
      <c r="B86" t="s">
        <v>32</v>
      </c>
      <c r="C86" s="5">
        <v>6478.71</v>
      </c>
      <c r="D86" s="5">
        <f t="shared" si="2"/>
        <v>6478.71</v>
      </c>
      <c r="F86" s="1">
        <v>46023</v>
      </c>
      <c r="G86">
        <v>42</v>
      </c>
      <c r="H86" s="5">
        <v>6560.92</v>
      </c>
      <c r="I86" s="5">
        <v>7382.69</v>
      </c>
      <c r="J86" s="5">
        <v>-361.29</v>
      </c>
      <c r="K86" s="5">
        <v>-325.29000000000002</v>
      </c>
      <c r="L86" s="5">
        <v>6696.11</v>
      </c>
      <c r="M86" s="5">
        <v>-84.11</v>
      </c>
      <c r="N86" s="5">
        <v>0</v>
      </c>
      <c r="O86" s="5">
        <v>-79.31</v>
      </c>
      <c r="P86" s="5">
        <v>0</v>
      </c>
      <c r="Q86" s="5">
        <v>-17.440000000000001</v>
      </c>
      <c r="R86" s="5">
        <v>-36.54</v>
      </c>
      <c r="S86" s="5">
        <v>0</v>
      </c>
      <c r="T86" s="5">
        <v>0</v>
      </c>
      <c r="U86" s="5">
        <v>0</v>
      </c>
      <c r="V86" s="5">
        <v>-0.95</v>
      </c>
      <c r="W86" t="s">
        <v>22</v>
      </c>
    </row>
    <row r="87" spans="1:23" x14ac:dyDescent="0.25">
      <c r="A87">
        <v>1999</v>
      </c>
      <c r="B87" t="s">
        <v>82</v>
      </c>
      <c r="C87" s="5">
        <v>1976.01</v>
      </c>
      <c r="D87" s="5">
        <f t="shared" si="2"/>
        <v>1976.01</v>
      </c>
      <c r="F87" s="1">
        <v>46023</v>
      </c>
      <c r="G87">
        <v>3</v>
      </c>
      <c r="H87" s="5">
        <v>475.73</v>
      </c>
      <c r="I87" s="5">
        <v>1984.58</v>
      </c>
      <c r="J87" s="5">
        <v>0</v>
      </c>
      <c r="K87" s="5">
        <v>0</v>
      </c>
      <c r="L87" s="5">
        <v>1984.58</v>
      </c>
      <c r="M87" s="5">
        <v>-5.94</v>
      </c>
      <c r="N87" s="5">
        <v>0</v>
      </c>
      <c r="O87" s="5">
        <v>-2.63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t="s">
        <v>22</v>
      </c>
    </row>
    <row r="88" spans="1:23" s="9" customFormat="1" x14ac:dyDescent="0.25">
      <c r="C88" s="8">
        <f>SUM(C3:C87)</f>
        <v>1534298.62</v>
      </c>
      <c r="D88" s="8">
        <f>SUM(D3:D87)</f>
        <v>1534298.62</v>
      </c>
      <c r="E88" s="8">
        <f>SUM(E3:E87)</f>
        <v>0</v>
      </c>
      <c r="G88" s="8">
        <f t="shared" ref="G88:V88" si="3">SUM(G3:G87)</f>
        <v>13823</v>
      </c>
      <c r="H88" s="8">
        <f t="shared" si="3"/>
        <v>1814673.5899999996</v>
      </c>
      <c r="I88" s="8">
        <f t="shared" si="3"/>
        <v>1625141.7000000002</v>
      </c>
      <c r="J88" s="8">
        <f t="shared" si="3"/>
        <v>-26851.359999999997</v>
      </c>
      <c r="K88" s="8">
        <f t="shared" si="3"/>
        <v>-16786.72</v>
      </c>
      <c r="L88" s="8">
        <f t="shared" si="3"/>
        <v>1581503.6200000006</v>
      </c>
      <c r="M88" s="8">
        <f t="shared" si="3"/>
        <v>-34192.439999999995</v>
      </c>
      <c r="N88" s="8">
        <f t="shared" si="3"/>
        <v>0</v>
      </c>
      <c r="O88" s="8">
        <f t="shared" si="3"/>
        <v>-5293.7200000000012</v>
      </c>
      <c r="P88" s="8">
        <f t="shared" si="3"/>
        <v>0</v>
      </c>
      <c r="Q88" s="8">
        <f t="shared" si="3"/>
        <v>-206.94</v>
      </c>
      <c r="R88" s="8">
        <f t="shared" si="3"/>
        <v>-7511.9000000000005</v>
      </c>
      <c r="S88" s="8">
        <f t="shared" si="3"/>
        <v>0</v>
      </c>
      <c r="T88" s="8">
        <f t="shared" si="3"/>
        <v>0</v>
      </c>
      <c r="U88" s="8">
        <f t="shared" si="3"/>
        <v>0</v>
      </c>
      <c r="V88" s="8">
        <f t="shared" si="3"/>
        <v>-6822.9000000000005</v>
      </c>
    </row>
    <row r="89" spans="1:23" x14ac:dyDescent="0.25">
      <c r="D89" s="11">
        <v>1534298.62</v>
      </c>
      <c r="J89" s="5">
        <f>J88+K88+R88</f>
        <v>-51149.98</v>
      </c>
    </row>
    <row r="90" spans="1:23" x14ac:dyDescent="0.25">
      <c r="A90" s="10" t="s">
        <v>109</v>
      </c>
      <c r="B90" s="1">
        <v>46063</v>
      </c>
    </row>
    <row r="91" spans="1:23" x14ac:dyDescent="0.25">
      <c r="A91" s="10"/>
    </row>
    <row r="92" spans="1:23" x14ac:dyDescent="0.25">
      <c r="A92" s="10" t="s">
        <v>110</v>
      </c>
      <c r="B92" s="5">
        <f>M88</f>
        <v>-34192.439999999995</v>
      </c>
    </row>
    <row r="93" spans="1:23" x14ac:dyDescent="0.25">
      <c r="A93" s="10" t="s">
        <v>111</v>
      </c>
      <c r="B93" s="5">
        <f>V88</f>
        <v>-6822.9000000000005</v>
      </c>
    </row>
    <row r="94" spans="1:23" x14ac:dyDescent="0.25">
      <c r="A94" s="10" t="s">
        <v>112</v>
      </c>
      <c r="B94" s="5">
        <f>B92-B93</f>
        <v>-27369.539999999994</v>
      </c>
    </row>
    <row r="95" spans="1:23" x14ac:dyDescent="0.25">
      <c r="A95" s="10"/>
      <c r="B95" s="5"/>
    </row>
    <row r="96" spans="1:23" x14ac:dyDescent="0.25">
      <c r="A96" s="10" t="s">
        <v>113</v>
      </c>
      <c r="B96" s="5">
        <f>O88</f>
        <v>-5293.7200000000012</v>
      </c>
    </row>
    <row r="97" spans="1:3" x14ac:dyDescent="0.25">
      <c r="A97" s="10" t="s">
        <v>114</v>
      </c>
      <c r="B97" s="5">
        <f>Q88</f>
        <v>-206.94</v>
      </c>
    </row>
    <row r="98" spans="1:3" x14ac:dyDescent="0.25">
      <c r="A98" s="10" t="s">
        <v>115</v>
      </c>
      <c r="B98" s="5">
        <f>S88</f>
        <v>0</v>
      </c>
    </row>
    <row r="99" spans="1:3" x14ac:dyDescent="0.25">
      <c r="A99" s="10" t="s">
        <v>116</v>
      </c>
      <c r="B99" s="5">
        <f>T88</f>
        <v>0</v>
      </c>
    </row>
    <row r="100" spans="1:3" x14ac:dyDescent="0.25">
      <c r="A100" s="10" t="s">
        <v>117</v>
      </c>
      <c r="B100" s="5">
        <f>SUM(B92+B96+B97+B98+B99)</f>
        <v>-39693.1</v>
      </c>
    </row>
    <row r="101" spans="1:3" x14ac:dyDescent="0.25">
      <c r="A101" s="10"/>
      <c r="B101" s="5"/>
    </row>
    <row r="102" spans="1:3" x14ac:dyDescent="0.25">
      <c r="A102" s="10" t="s">
        <v>118</v>
      </c>
      <c r="B102" t="s">
        <v>121</v>
      </c>
      <c r="C102" s="5" t="s">
        <v>120</v>
      </c>
    </row>
    <row r="103" spans="1:3" x14ac:dyDescent="0.25">
      <c r="B103" t="s">
        <v>122</v>
      </c>
      <c r="C103" s="5" t="s">
        <v>123</v>
      </c>
    </row>
    <row r="104" spans="1:3" x14ac:dyDescent="0.25">
      <c r="B104" t="s">
        <v>125</v>
      </c>
      <c r="C104" s="5" t="s">
        <v>124</v>
      </c>
    </row>
  </sheetData>
  <autoFilter ref="A2:W2" xr:uid="{00000000-0001-0000-0000-000000000000}">
    <sortState xmlns:xlrd2="http://schemas.microsoft.com/office/spreadsheetml/2017/richdata2" ref="A3:W3329">
      <sortCondition ref="B2"/>
    </sortState>
  </autoFilter>
  <conditionalFormatting sqref="A2:XFD2">
    <cfRule type="containsText" dxfId="5" priority="6" operator="containsText" text="fee">
      <formula>NOT(ISERROR(SEARCH("fee",A2)))</formula>
    </cfRule>
  </conditionalFormatting>
  <conditionalFormatting sqref="B2:B1048576">
    <cfRule type="containsText" dxfId="4" priority="1" operator="containsText" text="C)">
      <formula>NOT(ISERROR(SEARCH("C)",B2)))</formula>
    </cfRule>
    <cfRule type="containsText" dxfId="3" priority="2" operator="containsText" text="Canada">
      <formula>NOT(ISERROR(SEARCH("Canada",B2)))</formula>
    </cfRule>
    <cfRule type="containsText" dxfId="2" priority="4" operator="containsText" text="sound billing">
      <formula>NOT(ISERROR(SEARCH("sound billing",B2)))</formula>
    </cfRule>
    <cfRule type="containsText" dxfId="1" priority="5" operator="containsText" text="MyFleetCenter">
      <formula>NOT(ISERROR(SEARCH("MyFleetCenter",B2)))</formula>
    </cfRule>
  </conditionalFormatting>
  <conditionalFormatting sqref="E1:E87 E89:E1048576">
    <cfRule type="cellIs" dxfId="0" priority="3" operator="greaterThan">
      <formula>0</formula>
    </cfRule>
  </conditionalFormatting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de705d-e60f-4096-8e41-7e657c267aed" xsi:nil="true"/>
    <lcf76f155ced4ddcb4097134ff3c332f xmlns="35ed6e57-89f0-45ab-9a17-9f3f4dedbed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F1898F10F00741AE4D762BDE581D20" ma:contentTypeVersion="18" ma:contentTypeDescription="Create a new document." ma:contentTypeScope="" ma:versionID="374352550077cbac6500bf1913b325ab">
  <xsd:schema xmlns:xsd="http://www.w3.org/2001/XMLSchema" xmlns:xs="http://www.w3.org/2001/XMLSchema" xmlns:p="http://schemas.microsoft.com/office/2006/metadata/properties" xmlns:ns2="82de705d-e60f-4096-8e41-7e657c267aed" xmlns:ns3="35ed6e57-89f0-45ab-9a17-9f3f4dedbeda" targetNamespace="http://schemas.microsoft.com/office/2006/metadata/properties" ma:root="true" ma:fieldsID="a3c167861143a8be612a31fb58eb2762" ns2:_="" ns3:_="">
    <xsd:import namespace="82de705d-e60f-4096-8e41-7e657c267aed"/>
    <xsd:import namespace="35ed6e57-89f0-45ab-9a17-9f3f4dedbed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de705d-e60f-4096-8e41-7e657c267ae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4014ab9-20f8-40d3-8d7b-d1c8e0986b67}" ma:internalName="TaxCatchAll" ma:showField="CatchAllData" ma:web="82de705d-e60f-4096-8e41-7e657c267a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ed6e57-89f0-45ab-9a17-9f3f4dedbe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862d27b-1c2d-4024-a6c4-78a0a3a58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38F07E-6CB3-40AE-81B6-428F2A5F6FE9}">
  <ds:schemaRefs>
    <ds:schemaRef ds:uri="http://schemas.microsoft.com/office/2006/metadata/properties"/>
    <ds:schemaRef ds:uri="http://schemas.microsoft.com/office/infopath/2007/PartnerControls"/>
    <ds:schemaRef ds:uri="82de705d-e60f-4096-8e41-7e657c267aed"/>
    <ds:schemaRef ds:uri="35ed6e57-89f0-45ab-9a17-9f3f4dedbeda"/>
  </ds:schemaRefs>
</ds:datastoreItem>
</file>

<file path=customXml/itemProps2.xml><?xml version="1.0" encoding="utf-8"?>
<ds:datastoreItem xmlns:ds="http://schemas.openxmlformats.org/officeDocument/2006/customXml" ds:itemID="{17E6D612-FB9F-4EE0-857D-3C2356088A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de705d-e60f-4096-8e41-7e657c267aed"/>
    <ds:schemaRef ds:uri="35ed6e57-89f0-45ab-9a17-9f3f4dedbe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307BF5-69BE-4D74-A743-E8F8B33775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NonFactored_PaymentsOut_Summary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Karn Jilek</cp:lastModifiedBy>
  <dcterms:created xsi:type="dcterms:W3CDTF">2026-02-01T15:40:48Z</dcterms:created>
  <dcterms:modified xsi:type="dcterms:W3CDTF">2026-02-01T19:24:08Z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0x010100D0F1898F10F00741AE4D762BDE581D20</vt:lpwstr>
  </property>
  <property fmtid="{D5CDD505-2E9C-101B-9397-08002B2CF9AE}" pid="3" name="MediaServiceImageTags">
    <vt:lpwstr/>
  </property>
</Properties>
</file>